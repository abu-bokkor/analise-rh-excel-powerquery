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ea7cf6b4aae7c2e/Adm/projetos-pessoal/projeto_excel_power_query_I/"/>
    </mc:Choice>
  </mc:AlternateContent>
  <xr:revisionPtr revIDLastSave="3" documentId="13_ncr:1_{388172D9-7CF4-418F-9E83-6070F2D33AFD}" xr6:coauthVersionLast="47" xr6:coauthVersionMax="47" xr10:uidLastSave="{695D522C-A2C5-4343-8CA5-C68B5E78ABB9}"/>
  <bookViews>
    <workbookView xWindow="-108" yWindow="-108" windowWidth="23256" windowHeight="12456" activeTab="2" xr2:uid="{00000000-000D-0000-FFFF-FFFF00000000}"/>
  </bookViews>
  <sheets>
    <sheet name="Tabela - Consolidada" sheetId="2" r:id="rId1"/>
    <sheet name="Tabela Dinamica" sheetId="7" r:id="rId2"/>
    <sheet name="Dashboard" sheetId="8" r:id="rId3"/>
  </sheets>
  <definedNames>
    <definedName name="DadosExternos_1" localSheetId="0" hidden="1">'Tabela - Consolidada'!$A$1:$P$204</definedName>
    <definedName name="SegmentaçãodeDados_Ano_de_Admissão">#N/A</definedName>
  </definedNames>
  <calcPr calcId="162913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85F401-DBA5-4C8B-BEBD-6B7CBE767E10}" keepAlive="1" name="Consulta - Tabela - CLT" description="Conexão com a consulta 'Tabela - CLT' na pasta de trabalho." type="5" refreshedVersion="8" background="1" saveData="1">
    <dbPr connection="Provider=Microsoft.Mashup.OleDb.1;Data Source=$Workbook$;Location=&quot;Tabela - CLT&quot;;Extended Properties=&quot;&quot;" command="SELECT * FROM [Tabela - CLT]"/>
  </connection>
  <connection id="2" xr16:uid="{C10EF7CF-F83B-4534-B3DF-A22A88C296CF}" keepAlive="1" name="Consulta - Tabela - Consolidada" description="Conexão com a consulta 'Tabela - Consolidada' na pasta de trabalho." type="5" refreshedVersion="8" background="1" saveData="1">
    <dbPr connection="Provider=Microsoft.Mashup.OleDb.1;Data Source=$Workbook$;Location=&quot;Tabela - Consolidada&quot;;Extended Properties=&quot;&quot;" command="SELECT * FROM [Tabela - Consolidada]"/>
  </connection>
  <connection id="3" xr16:uid="{34245BC9-A7A1-4266-9C17-80846E600BE2}" keepAlive="1" name="Consulta - Tabela - Estagio" description="Conexão com a consulta 'Tabela - Estagio' na pasta de trabalho." type="5" refreshedVersion="8" background="1" saveData="1">
    <dbPr connection="Provider=Microsoft.Mashup.OleDb.1;Data Source=$Workbook$;Location=&quot;Tabela - Estagio&quot;;Extended Properties=&quot;&quot;" command="SELECT * FROM [Tabela - Estagio]"/>
  </connection>
  <connection id="4" xr16:uid="{9DC1A4F9-1695-4E85-AFDF-0905E2DB2158}" keepAlive="1" name="Consulta - Tabela - Jovem Aprendiz" description="Conexão com a consulta 'Tabela - Jovem Aprendiz' na pasta de trabalho." type="5" refreshedVersion="0" background="1">
    <dbPr connection="Provider=Microsoft.Mashup.OleDb.1;Data Source=$Workbook$;Location=&quot;Tabela - Jovem Aprendiz&quot;;Extended Properties=&quot;&quot;" command="SELECT * FROM [Tabela - Jovem Aprendiz]"/>
  </connection>
  <connection id="5" xr16:uid="{A71C0E63-80D4-4889-83F9-2059A1A7F612}" keepAlive="1" name="Consulta - Tabela - PJ" description="Conexão com a consulta 'Tabela - PJ' na pasta de trabalho." type="5" refreshedVersion="8" background="1" saveData="1">
    <dbPr connection="Provider=Microsoft.Mashup.OleDb.1;Data Source=$Workbook$;Location=&quot;Tabela - PJ&quot;;Extended Properties=&quot;&quot;" command="SELECT * FROM [Tabela - PJ]"/>
  </connection>
</connections>
</file>

<file path=xl/sharedStrings.xml><?xml version="1.0" encoding="utf-8"?>
<sst xmlns="http://schemas.openxmlformats.org/spreadsheetml/2006/main" count="1276" uniqueCount="343">
  <si>
    <t>ID_Funcionario</t>
  </si>
  <si>
    <t>Nome</t>
  </si>
  <si>
    <t>Idade</t>
  </si>
  <si>
    <t>Área</t>
  </si>
  <si>
    <t>Cargo</t>
  </si>
  <si>
    <t>Tipo_Contrato</t>
  </si>
  <si>
    <t>Data_Admissão</t>
  </si>
  <si>
    <t>Data_Desligamento</t>
  </si>
  <si>
    <t>Motivo_Desligamento</t>
  </si>
  <si>
    <t>Salário_Mensal</t>
  </si>
  <si>
    <t>Modalidade</t>
  </si>
  <si>
    <t>Performance_Último_Ano</t>
  </si>
  <si>
    <t>Dias_Afastamento_12m</t>
  </si>
  <si>
    <t>Treinamentos_12m</t>
  </si>
  <si>
    <t>Mês de Admissão</t>
  </si>
  <si>
    <t>Ano de Admissão</t>
  </si>
  <si>
    <t>Renato Castro</t>
  </si>
  <si>
    <t>Atendimento</t>
  </si>
  <si>
    <t>Analista de Atendimento</t>
  </si>
  <si>
    <t>Jovem Aprendiz</t>
  </si>
  <si>
    <t>Presencial</t>
  </si>
  <si>
    <t>fevereiro</t>
  </si>
  <si>
    <t>Daniel Tavares</t>
  </si>
  <si>
    <t>TI</t>
  </si>
  <si>
    <t>Analista de Dados</t>
  </si>
  <si>
    <t>Beatriz Gonçalves</t>
  </si>
  <si>
    <t>Marketing</t>
  </si>
  <si>
    <t>Analista de Comunicação</t>
  </si>
  <si>
    <t>Luiz Rodrigues</t>
  </si>
  <si>
    <t>Analista de Suporte</t>
  </si>
  <si>
    <t>Yara Castro</t>
  </si>
  <si>
    <t>Comercial</t>
  </si>
  <si>
    <t>Assistente Comercial</t>
  </si>
  <si>
    <t>Estágio</t>
  </si>
  <si>
    <t>Híbrido</t>
  </si>
  <si>
    <t>Brenda Castro</t>
  </si>
  <si>
    <t>RH</t>
  </si>
  <si>
    <t>Assistente de RH</t>
  </si>
  <si>
    <t>setembro</t>
  </si>
  <si>
    <t>Ximena Duarte</t>
  </si>
  <si>
    <t>Analista de Mídias Digitais</t>
  </si>
  <si>
    <t>março</t>
  </si>
  <si>
    <t>Beatriz Pinto</t>
  </si>
  <si>
    <t>abril</t>
  </si>
  <si>
    <t>Karen Dias</t>
  </si>
  <si>
    <t>Assistente de Marketing</t>
  </si>
  <si>
    <t>Antonia Leite</t>
  </si>
  <si>
    <t>outubro</t>
  </si>
  <si>
    <t>Júlia Morais</t>
  </si>
  <si>
    <t>janeiro</t>
  </si>
  <si>
    <t>Fernando Campos</t>
  </si>
  <si>
    <t>agosto</t>
  </si>
  <si>
    <t>Daniela Maria</t>
  </si>
  <si>
    <t>maio</t>
  </si>
  <si>
    <t>Jorge Conceição</t>
  </si>
  <si>
    <t>Davi Guimaraes</t>
  </si>
  <si>
    <t>Jéssica Matos</t>
  </si>
  <si>
    <t>julho</t>
  </si>
  <si>
    <t>Francisco de Lima</t>
  </si>
  <si>
    <t>Vanessa Castro</t>
  </si>
  <si>
    <t>Thiago Pires</t>
  </si>
  <si>
    <t>Yasmin Rocha</t>
  </si>
  <si>
    <t>Juliana de Castro</t>
  </si>
  <si>
    <t>Yasmin Brito</t>
  </si>
  <si>
    <t>Marcelo Vieira</t>
  </si>
  <si>
    <t>Finanças</t>
  </si>
  <si>
    <t>Analista Financeiro Jr</t>
  </si>
  <si>
    <t>CLT</t>
  </si>
  <si>
    <t>Zenaide Lima</t>
  </si>
  <si>
    <t>Qualidade</t>
  </si>
  <si>
    <t>Auditor da Qualidade</t>
  </si>
  <si>
    <t>Nelson Barros</t>
  </si>
  <si>
    <t>Controller</t>
  </si>
  <si>
    <t>Giovana Luz</t>
  </si>
  <si>
    <t>Remoto</t>
  </si>
  <si>
    <t>junho</t>
  </si>
  <si>
    <t>Flávia Teles</t>
  </si>
  <si>
    <t>Produção</t>
  </si>
  <si>
    <t>Coordenador de Produção</t>
  </si>
  <si>
    <t>Otília Ramos</t>
  </si>
  <si>
    <t>Supervisor de Atendimento</t>
  </si>
  <si>
    <t>Felipe Costa</t>
  </si>
  <si>
    <t>Operações</t>
  </si>
  <si>
    <t>Gerente de Operações</t>
  </si>
  <si>
    <t>novembro</t>
  </si>
  <si>
    <t>Heloísa Bernardes</t>
  </si>
  <si>
    <t>Luana Paiva</t>
  </si>
  <si>
    <t>Atendente</t>
  </si>
  <si>
    <t>Olívia Barbosa</t>
  </si>
  <si>
    <t>Coordenadora de Marketing</t>
  </si>
  <si>
    <t>Cíntia Prado</t>
  </si>
  <si>
    <t>Coordenador Financeiro</t>
  </si>
  <si>
    <t>Leila Assis</t>
  </si>
  <si>
    <t>Business Partner</t>
  </si>
  <si>
    <t>João Pedro Ramos</t>
  </si>
  <si>
    <t>Logística</t>
  </si>
  <si>
    <t>Coordenador de Logística</t>
  </si>
  <si>
    <t>Otto Ferraz</t>
  </si>
  <si>
    <t>Supervisor de Produção</t>
  </si>
  <si>
    <t>Igor Batista</t>
  </si>
  <si>
    <t>Jurídico</t>
  </si>
  <si>
    <t>Advogado Pleno</t>
  </si>
  <si>
    <t>William Ramos</t>
  </si>
  <si>
    <t>Gerente Financeiro</t>
  </si>
  <si>
    <t>Pedido de demissão</t>
  </si>
  <si>
    <t>Vinícius Lopes</t>
  </si>
  <si>
    <t>Coordenador Operacional</t>
  </si>
  <si>
    <t>Heitor Silva</t>
  </si>
  <si>
    <t>Analista de Sistemas</t>
  </si>
  <si>
    <t>Helena Tavares</t>
  </si>
  <si>
    <t>Analista de Qualidade</t>
  </si>
  <si>
    <t>César Monteiro</t>
  </si>
  <si>
    <t>Supervisor de Logística</t>
  </si>
  <si>
    <t>Ivan Oliveira</t>
  </si>
  <si>
    <t>Analista de Logística</t>
  </si>
  <si>
    <t>Marcelo Corrêa</t>
  </si>
  <si>
    <t>Diretor de Operações</t>
  </si>
  <si>
    <t>Ximena Silva</t>
  </si>
  <si>
    <t>Zilda Fernandes</t>
  </si>
  <si>
    <t>Tales Moraes</t>
  </si>
  <si>
    <t>Vendedor Externo</t>
  </si>
  <si>
    <t>Sabrina Araujo</t>
  </si>
  <si>
    <t>Ana Souza</t>
  </si>
  <si>
    <t>Analista Financeiro Pleno</t>
  </si>
  <si>
    <t>Fernando Rios</t>
  </si>
  <si>
    <t>Júlio Cordeiro</t>
  </si>
  <si>
    <t>Ursula Amaral</t>
  </si>
  <si>
    <t>Kaio Aragão</t>
  </si>
  <si>
    <t>Analista de Tesouraria</t>
  </si>
  <si>
    <t>Ursula Macedo</t>
  </si>
  <si>
    <t>Coordenador Jurídico</t>
  </si>
  <si>
    <t>Patrícia Cunha</t>
  </si>
  <si>
    <t>Xavier Costa</t>
  </si>
  <si>
    <t>Helena Araújo</t>
  </si>
  <si>
    <t>Rodrigo Falcão</t>
  </si>
  <si>
    <t>Aposentadoria</t>
  </si>
  <si>
    <t>dezembro</t>
  </si>
  <si>
    <t>Alex Martins</t>
  </si>
  <si>
    <t>Quirino Almeida</t>
  </si>
  <si>
    <t>Gerente de Logística</t>
  </si>
  <si>
    <t>Felipe Duarte</t>
  </si>
  <si>
    <t>Supervisor Operacional</t>
  </si>
  <si>
    <t>Thiago Martins</t>
  </si>
  <si>
    <t>Sofia Cardoso</t>
  </si>
  <si>
    <t>Inspetora de Qualidade</t>
  </si>
  <si>
    <t>Gabriel Silveira</t>
  </si>
  <si>
    <t>Vanessa Teixeira</t>
  </si>
  <si>
    <t>Generalista de RH</t>
  </si>
  <si>
    <t>Estevão Pereira</t>
  </si>
  <si>
    <t>Gustavo Pacheco</t>
  </si>
  <si>
    <t>Key Account Manager</t>
  </si>
  <si>
    <t>Júlia Faria</t>
  </si>
  <si>
    <t>Daniela Freitas</t>
  </si>
  <si>
    <t>Xavier Pacheco</t>
  </si>
  <si>
    <t>Advogado Sênior</t>
  </si>
  <si>
    <t>Fernanda Guimarães</t>
  </si>
  <si>
    <t>Analista de Remuneração</t>
  </si>
  <si>
    <t>Bianca Dantas</t>
  </si>
  <si>
    <t>Executivo de Vendas</t>
  </si>
  <si>
    <t>Igor Farias</t>
  </si>
  <si>
    <t>Yara Leite</t>
  </si>
  <si>
    <t>Zenaide Souza</t>
  </si>
  <si>
    <t>Coordenador de Qualidade</t>
  </si>
  <si>
    <t>Queila Ramos</t>
  </si>
  <si>
    <t>Quintino Lopes</t>
  </si>
  <si>
    <t>Pedro Azevedo</t>
  </si>
  <si>
    <t>Quésia Mendes</t>
  </si>
  <si>
    <t>Débora Moura</t>
  </si>
  <si>
    <t>Otília Nascimento</t>
  </si>
  <si>
    <t>Gerente de Qualidade</t>
  </si>
  <si>
    <t>Flávia Gomes</t>
  </si>
  <si>
    <t>Ricardo Prado</t>
  </si>
  <si>
    <t>Analista de Infraestrutura</t>
  </si>
  <si>
    <t>Karina Souza</t>
  </si>
  <si>
    <t>Bruna Carvalho</t>
  </si>
  <si>
    <t>Analista de Marketing</t>
  </si>
  <si>
    <t>Nádia Castro</t>
  </si>
  <si>
    <t>Ubirajara Lopes</t>
  </si>
  <si>
    <t>Operador de Máquinas</t>
  </si>
  <si>
    <t>Daniel Moreira</t>
  </si>
  <si>
    <t>Xuxa Almeida</t>
  </si>
  <si>
    <t>Operador de Produção</t>
  </si>
  <si>
    <t>Yuri Moraes</t>
  </si>
  <si>
    <t>Paulo Roberto</t>
  </si>
  <si>
    <t>Leandro Silva</t>
  </si>
  <si>
    <t>Fábio Correia</t>
  </si>
  <si>
    <t>Karina Braga</t>
  </si>
  <si>
    <t>Nicole Andrade</t>
  </si>
  <si>
    <t>Product Owner</t>
  </si>
  <si>
    <t>Bruna Salles</t>
  </si>
  <si>
    <t>Analista de Conteúdo</t>
  </si>
  <si>
    <t>Ursula Vieira</t>
  </si>
  <si>
    <t>Allan Moraes</t>
  </si>
  <si>
    <t>Designer Gráfico</t>
  </si>
  <si>
    <t>Luana Queiroz</t>
  </si>
  <si>
    <t>Coordenadora de Produção</t>
  </si>
  <si>
    <t>Ana Cláudia Ribeiro</t>
  </si>
  <si>
    <t>Daniela Lopes</t>
  </si>
  <si>
    <t>Analista de RH</t>
  </si>
  <si>
    <t>Heitor Diniz</t>
  </si>
  <si>
    <t>Jonas Carvalho</t>
  </si>
  <si>
    <t>Desenvolvedor Pleno</t>
  </si>
  <si>
    <t>Nikolas Cunha</t>
  </si>
  <si>
    <t>Yuri Andrade</t>
  </si>
  <si>
    <t>Washington Reis</t>
  </si>
  <si>
    <t>Tamara Ribeiro</t>
  </si>
  <si>
    <t>Carla Mendes</t>
  </si>
  <si>
    <t>Enzo Carvalho</t>
  </si>
  <si>
    <t>Ulisses Moreira</t>
  </si>
  <si>
    <t>Coordenador de Frota</t>
  </si>
  <si>
    <t>Sabrina Lopes</t>
  </si>
  <si>
    <t>Gerente Comercial</t>
  </si>
  <si>
    <t>Leandro Santos</t>
  </si>
  <si>
    <t>Giselle Xavier</t>
  </si>
  <si>
    <t>Karina Lopes</t>
  </si>
  <si>
    <t>Otávio Barros</t>
  </si>
  <si>
    <t>Diego Santos</t>
  </si>
  <si>
    <t>Executivo de Vendas Júnior</t>
  </si>
  <si>
    <t>João Pereira</t>
  </si>
  <si>
    <t>Coordenador Logístico</t>
  </si>
  <si>
    <t>Karine Costa</t>
  </si>
  <si>
    <t>Vitória Alves</t>
  </si>
  <si>
    <t>Paula Nogueira</t>
  </si>
  <si>
    <t>Executivo de Contas</t>
  </si>
  <si>
    <t>Rafael Gomes</t>
  </si>
  <si>
    <t>Sueli Rodrigues</t>
  </si>
  <si>
    <t>Elisa Ribeiro</t>
  </si>
  <si>
    <t>Gabriela Nunes</t>
  </si>
  <si>
    <t>Analista de Treinamento</t>
  </si>
  <si>
    <t>Sérgio Farias</t>
  </si>
  <si>
    <t>Cássio Neves</t>
  </si>
  <si>
    <t>Queila Nascimento</t>
  </si>
  <si>
    <t>Diego Barros</t>
  </si>
  <si>
    <t>Queila Souza</t>
  </si>
  <si>
    <t>Igor Fernandes</t>
  </si>
  <si>
    <t>Supervisor de Estoque</t>
  </si>
  <si>
    <t>Renata Campos</t>
  </si>
  <si>
    <t>Tiago Moreira</t>
  </si>
  <si>
    <t>Desligamento sem justa causa</t>
  </si>
  <si>
    <t>Nathalia Queiroz</t>
  </si>
  <si>
    <t>Paulo Henrique</t>
  </si>
  <si>
    <t>Caio Andrade</t>
  </si>
  <si>
    <t>Daniel Teles</t>
  </si>
  <si>
    <t>Bruno Lima</t>
  </si>
  <si>
    <t>Desenvolvedor Sênior</t>
  </si>
  <si>
    <t>Débora Fernandes</t>
  </si>
  <si>
    <t>Paulo Mendes</t>
  </si>
  <si>
    <t>Marcos Vieira</t>
  </si>
  <si>
    <t>Guilherme Assis</t>
  </si>
  <si>
    <t>Assistente de Logística</t>
  </si>
  <si>
    <t>Helena Souza</t>
  </si>
  <si>
    <t>Patrícia Nunes</t>
  </si>
  <si>
    <t>Isabela Rocha</t>
  </si>
  <si>
    <t>Executiva de Vendas Pleno</t>
  </si>
  <si>
    <t>Caio Nascimento</t>
  </si>
  <si>
    <t>Ian Carvalho</t>
  </si>
  <si>
    <t>Enrico Barbosa</t>
  </si>
  <si>
    <t>Eduardo Monteiro</t>
  </si>
  <si>
    <t>Alberto Meireles</t>
  </si>
  <si>
    <t>Beatriz Azevedo</t>
  </si>
  <si>
    <t>Otávio Maciel</t>
  </si>
  <si>
    <t>Olga Figueiredo</t>
  </si>
  <si>
    <t>Inês Cabral</t>
  </si>
  <si>
    <t>Raquel Barreto</t>
  </si>
  <si>
    <t>Camila Torres</t>
  </si>
  <si>
    <t>Elaine Rodrigues</t>
  </si>
  <si>
    <t>Coordenador de RH</t>
  </si>
  <si>
    <t>Taís Moreira</t>
  </si>
  <si>
    <t>Samuel Oliveira</t>
  </si>
  <si>
    <t>Fernanda Pires</t>
  </si>
  <si>
    <t>Caio Montenegro</t>
  </si>
  <si>
    <t>Gerente de Centro de Distribuição</t>
  </si>
  <si>
    <t>Naiara Souza</t>
  </si>
  <si>
    <t>Gustavo Diniz</t>
  </si>
  <si>
    <t>Leonardo Braga</t>
  </si>
  <si>
    <t>Gerente de RH</t>
  </si>
  <si>
    <t>Gabriel Nogueira</t>
  </si>
  <si>
    <t>Eduardo Teles</t>
  </si>
  <si>
    <t>Arquiteto de Software</t>
  </si>
  <si>
    <t>Eduarda Maciel</t>
  </si>
  <si>
    <t>Zélia Pires</t>
  </si>
  <si>
    <t>Coordenadora Jurídica</t>
  </si>
  <si>
    <t>Mila Santos</t>
  </si>
  <si>
    <t>Analista de Recrutamento e Seleção</t>
  </si>
  <si>
    <t>William Rocha</t>
  </si>
  <si>
    <t>Natalia Prado</t>
  </si>
  <si>
    <t>Assistente Contábil</t>
  </si>
  <si>
    <t>Otávio Reis</t>
  </si>
  <si>
    <t>Breno Marques</t>
  </si>
  <si>
    <t>Zuleide Macena</t>
  </si>
  <si>
    <t>Zeca Moura</t>
  </si>
  <si>
    <t>André Carvalho</t>
  </si>
  <si>
    <t>Murilo Cunha</t>
  </si>
  <si>
    <t>Ulisses Barros</t>
  </si>
  <si>
    <t>Xavier Gomes</t>
  </si>
  <si>
    <t>Scrum Master</t>
  </si>
  <si>
    <t>Maria Eduarda Lima</t>
  </si>
  <si>
    <t>Vinícius Tavares</t>
  </si>
  <si>
    <t>Adriano Teixeira</t>
  </si>
  <si>
    <t>Nicolas Rocha</t>
  </si>
  <si>
    <t>Marcelo Queiroz</t>
  </si>
  <si>
    <t>Patrícia Silveira</t>
  </si>
  <si>
    <t>Wellington Dias</t>
  </si>
  <si>
    <t>Wagner Silva</t>
  </si>
  <si>
    <t>Marcela Lima</t>
  </si>
  <si>
    <t>Adriana Cunha</t>
  </si>
  <si>
    <t>Vinícius Freitas</t>
  </si>
  <si>
    <t>Wesley Campos</t>
  </si>
  <si>
    <t>Larissa Melo</t>
  </si>
  <si>
    <t>Helena Cardoso</t>
  </si>
  <si>
    <t>Bruno César</t>
  </si>
  <si>
    <t>Leonardo Teixeira</t>
  </si>
  <si>
    <t>Yuri Carvalho</t>
  </si>
  <si>
    <t>Joana Batista</t>
  </si>
  <si>
    <t>Ingrid Pacheco</t>
  </si>
  <si>
    <t>Sueli Borges</t>
  </si>
  <si>
    <t>PJ</t>
  </si>
  <si>
    <t>Leticia Batista</t>
  </si>
  <si>
    <t>Cientista de Dados</t>
  </si>
  <si>
    <t>Ygor Vieira</t>
  </si>
  <si>
    <t>Marcos Aurélio</t>
  </si>
  <si>
    <t>Paulo Oliveira</t>
  </si>
  <si>
    <t>Rótulos de Linha</t>
  </si>
  <si>
    <t>Total Geral</t>
  </si>
  <si>
    <t>Contagem de Tipo_Contrato</t>
  </si>
  <si>
    <t>Soma de Salário_Mensal</t>
  </si>
  <si>
    <t>out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</si>
  <si>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</si>
  <si>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</si>
  <si>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</si>
  <si>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</si>
  <si>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</si>
  <si>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</si>
  <si>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</si>
  <si>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</si>
  <si>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</si>
  <si>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nov</t>
  </si>
  <si>
    <t>dez</t>
  </si>
  <si>
    <t>Contagem de Modalidade</t>
  </si>
  <si>
    <t>Dashboard de Análises de Relatórios</t>
  </si>
  <si>
    <t>Análise de quantiades de colaboradores em cada modalidade e os salários por meses decorrer dos anos</t>
  </si>
  <si>
    <t>Abu Bokkor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</si>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</sst>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[dashboard_analises_relatorios.xlsx]Tabela Dinamica!Tabela dinâmica1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Qntd de colaboradores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2060"/>
              </a:gs>
              <a:gs pos="100000">
                <a:srgbClr val="00B0F0"/>
              </a:gs>
            </a:gsLst>
            <a:lin ang="5400000" scaled="1"/>
          </a:gradFill>
          <a:ln w="152400">
            <a:gradFill>
              <a:gsLst>
                <a:gs pos="0">
                  <a:srgbClr val="002060"/>
                </a:gs>
                <a:gs pos="100000">
                  <a:srgbClr val="00B0F0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2060"/>
                </a:gs>
                <a:gs pos="100000">
                  <a:srgbClr val="00B0F0"/>
                </a:gs>
              </a:gsLst>
              <a:lin ang="5400000" scaled="1"/>
            </a:gradFill>
            <a:ln w="152400">
              <a:gradFill>
                <a:gsLst>
                  <a:gs pos="0">
                    <a:srgbClr val="002060"/>
                  </a:gs>
                  <a:gs pos="100000">
                    <a:srgbClr val="00B0F0"/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Dinamica'!$A$4:$A$8</c:f>
              <c:strCache>
                <c:ptCount val="4"/>
                <c:pt idx="0">
                  <c:v>CLT</c:v>
                </c:pt>
                <c:pt idx="1">
                  <c:v>Estágio</c:v>
                </c:pt>
                <c:pt idx="2">
                  <c:v>PJ</c:v>
                </c:pt>
                <c:pt idx="3">
                  <c:v>Jovem Aprendiz</c:v>
                </c:pt>
              </c:strCache>
            </c:strRef>
          </c:cat>
          <c:val>
            <c:numRef>
              <c:f>'Tabela Dinamica'!$B$4:$B$8</c:f>
              <c:numCache>
                <c:formatCode>General</c:formatCode>
                <c:ptCount val="4"/>
                <c:pt idx="0">
                  <c:v>175</c:v>
                </c:pt>
                <c:pt idx="1">
                  <c:v>18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3-4DAF-989A-88AC227CA2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2123040"/>
        <c:axId val="1272139840"/>
      </c:barChart>
      <c:catAx>
        <c:axId val="12721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139840"/>
        <c:crosses val="autoZero"/>
        <c:auto val="1"/>
        <c:lblAlgn val="ctr"/>
        <c:lblOffset val="100"/>
        <c:noMultiLvlLbl val="0"/>
      </c:catAx>
      <c:valAx>
        <c:axId val="1272139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21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[dashboard_analises_relatorios.xlsx]Tabela Dinamica!Tabela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Salários</a:t>
            </a:r>
            <a:r>
              <a:rPr lang="en-US" sz="1200" baseline="0"/>
              <a:t> por mês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gradFill>
              <a:gsLst>
                <a:gs pos="0">
                  <a:srgbClr val="002060"/>
                </a:gs>
                <a:gs pos="100000">
                  <a:srgbClr val="00B0F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/>
            </a:solidFill>
            <a:ln w="25400">
              <a:gradFill>
                <a:gsLst>
                  <a:gs pos="0">
                    <a:srgbClr val="002060"/>
                  </a:gs>
                  <a:gs pos="100000">
                    <a:srgbClr val="00B0F0"/>
                  </a:gs>
                </a:gsLst>
                <a:lin ang="5400000" scaled="1"/>
              </a:gradFill>
            </a:ln>
            <a:effectLst/>
          </c:spPr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126512651265127E-2"/>
          <c:y val="0.16041666666666665"/>
          <c:w val="0.96974697469746973"/>
          <c:h val="0.73218394575678036"/>
        </c:manualLayout>
      </c:layout>
      <c:lineChart>
        <c:grouping val="standard"/>
        <c:varyColors val="0"/>
        <c:ser>
          <c:idx val="0"/>
          <c:order val="0"/>
          <c:tx>
            <c:strRef>
              <c:f>'Tabela Dinamica'!$E$3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gradFill>
                <a:gsLst>
                  <a:gs pos="0">
                    <a:srgbClr val="002060"/>
                  </a:gs>
                  <a:gs pos="100000">
                    <a:srgbClr val="00B0F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5400">
                <a:gradFill>
                  <a:gsLst>
                    <a:gs pos="0">
                      <a:srgbClr val="002060"/>
                    </a:gs>
                    <a:gs pos="100000">
                      <a:srgbClr val="00B0F0"/>
                    </a:gs>
                  </a:gsLst>
                  <a:lin ang="5400000" scaled="1"/>
                </a:gradFill>
              </a:ln>
              <a:effectLst/>
            </c:spPr>
          </c:marker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Dinamica'!$D$4:$D$16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Dinamica'!$E$4:$E$16</c:f>
              <c:numCache>
                <c:formatCode>General</c:formatCode>
                <c:ptCount val="12"/>
                <c:pt idx="0">
                  <c:v>174600</c:v>
                </c:pt>
                <c:pt idx="1">
                  <c:v>143600</c:v>
                </c:pt>
                <c:pt idx="2">
                  <c:v>127100</c:v>
                </c:pt>
                <c:pt idx="3">
                  <c:v>88550</c:v>
                </c:pt>
                <c:pt idx="4">
                  <c:v>123900</c:v>
                </c:pt>
                <c:pt idx="5">
                  <c:v>106800</c:v>
                </c:pt>
                <c:pt idx="6">
                  <c:v>74300</c:v>
                </c:pt>
                <c:pt idx="7">
                  <c:v>73350</c:v>
                </c:pt>
                <c:pt idx="8">
                  <c:v>141100</c:v>
                </c:pt>
                <c:pt idx="9">
                  <c:v>111000</c:v>
                </c:pt>
                <c:pt idx="10">
                  <c:v>100500</c:v>
                </c:pt>
                <c:pt idx="11">
                  <c:v>26900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D5-4B29-B63F-031BAA1EEB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3281312"/>
        <c:axId val="1353281792"/>
      </c:lineChart>
      <c:catAx>
        <c:axId val="135328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3281792"/>
        <c:crosses val="autoZero"/>
        <c:auto val="1"/>
        <c:lblAlgn val="ctr"/>
        <c:lblOffset val="100"/>
        <c:noMultiLvlLbl val="0"/>
      </c:catAx>
      <c:valAx>
        <c:axId val="135328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328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[dashboard_analises_relatorios.xlsx]Tabela Dinamica!Tabela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Proporção</a:t>
            </a:r>
            <a:r>
              <a:rPr lang="en-US" sz="1200" baseline="0"/>
              <a:t> entre as modalidades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dist="762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outerShdw dist="762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>
            <a:outerShdw dist="762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>
            <a:outerShdw dist="762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dist="762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Dinamica'!$H$3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dist="76200" dir="2700000" algn="tl" rotWithShape="0">
                <a:prstClr val="black">
                  <a:alpha val="40000"/>
                </a:prstClr>
              </a:outerShdw>
            </a:effectLst>
          </c:spPr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dist="762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E9-4BD5-8D93-ECC87B416C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dist="762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E9-4BD5-8D93-ECC87B416C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dist="762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E9-4BD5-8D93-ECC87B416C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dist="762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A5-4C71-887A-386094D4BC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Dinamica'!$G$4:$G$8</c:f>
              <c:strCache>
                <c:ptCount val="4"/>
                <c:pt idx="0">
                  <c:v>Híbrido</c:v>
                </c:pt>
                <c:pt idx="1">
                  <c:v>Presencial</c:v>
                </c:pt>
                <c:pt idx="2">
                  <c:v>Remoto</c:v>
                </c:pt>
                <c:pt idx="3">
                  <c:v>Home Office</c:v>
                </c:pt>
              </c:strCache>
            </c:strRef>
          </c:cat>
          <c:val>
            <c:numRef>
              <c:f>'Tabela Dinamica'!$H$4:$H$8</c:f>
              <c:numCache>
                <c:formatCode>General</c:formatCode>
                <c:ptCount val="4"/>
                <c:pt idx="0">
                  <c:v>92</c:v>
                </c:pt>
                <c:pt idx="1">
                  <c:v>82</c:v>
                </c:pt>
                <c:pt idx="2">
                  <c:v>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E9-4BD5-8D93-ECC87B416C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23</xdr:row>
      <xdr:rowOff>160020</xdr:rowOff>
    </xdr:from>
    <xdr:to>
      <xdr:col>18</xdr:col>
      <xdr:colOff>571500</xdr:colOff>
      <xdr:row>38</xdr:row>
      <xdr:rowOff>144780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F976C100-1450-40BD-BEBF-C283B77C8CAD}"/>
            </a:ext>
          </a:extLst>
        </xdr:cNvPr>
        <xdr:cNvSpPr/>
      </xdr:nvSpPr>
      <xdr:spPr>
        <a:xfrm>
          <a:off x="464820" y="4526280"/>
          <a:ext cx="11079480" cy="2727960"/>
        </a:xfrm>
        <a:prstGeom prst="roundRect">
          <a:avLst>
            <a:gd name="adj" fmla="val 6052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251460</xdr:colOff>
      <xdr:row>7</xdr:row>
      <xdr:rowOff>137160</xdr:rowOff>
    </xdr:from>
    <xdr:to>
      <xdr:col>18</xdr:col>
      <xdr:colOff>571500</xdr:colOff>
      <xdr:row>22</xdr:row>
      <xdr:rowOff>121920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83290B5-21D3-4DCD-98C8-557972EDCAAA}"/>
            </a:ext>
          </a:extLst>
        </xdr:cNvPr>
        <xdr:cNvSpPr/>
      </xdr:nvSpPr>
      <xdr:spPr>
        <a:xfrm>
          <a:off x="6957060" y="1577340"/>
          <a:ext cx="4587240" cy="2727960"/>
        </a:xfrm>
        <a:prstGeom prst="roundRect">
          <a:avLst>
            <a:gd name="adj" fmla="val 6052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480060</xdr:colOff>
      <xdr:row>7</xdr:row>
      <xdr:rowOff>160020</xdr:rowOff>
    </xdr:from>
    <xdr:to>
      <xdr:col>11</xdr:col>
      <xdr:colOff>53340</xdr:colOff>
      <xdr:row>22</xdr:row>
      <xdr:rowOff>144780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716DC9F-6F2D-366E-FD59-CD1796107570}"/>
            </a:ext>
          </a:extLst>
        </xdr:cNvPr>
        <xdr:cNvSpPr/>
      </xdr:nvSpPr>
      <xdr:spPr>
        <a:xfrm>
          <a:off x="480060" y="1600200"/>
          <a:ext cx="6278880" cy="2727960"/>
        </a:xfrm>
        <a:prstGeom prst="roundRect">
          <a:avLst>
            <a:gd name="adj" fmla="val 6052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480060</xdr:colOff>
      <xdr:row>7</xdr:row>
      <xdr:rowOff>144780</xdr:rowOff>
    </xdr:from>
    <xdr:to>
      <xdr:col>11</xdr:col>
      <xdr:colOff>53340</xdr:colOff>
      <xdr:row>22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5AA29-E0DD-492B-B059-3E5E2ED6C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</xdr:row>
      <xdr:rowOff>114300</xdr:rowOff>
    </xdr:from>
    <xdr:to>
      <xdr:col>19</xdr:col>
      <xdr:colOff>0</xdr:colOff>
      <xdr:row>6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 de Admissão">
              <a:extLst>
                <a:ext uri="{FF2B5EF4-FFF2-40B4-BE49-F238E27FC236}">
                  <a16:creationId xmlns:a16="http://schemas.microsoft.com/office/drawing/2014/main" id="{0F8FB709-65D5-4F1A-8E64-B5C28B9EA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de Admiss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" y="640080"/>
              <a:ext cx="11087100" cy="792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495300</xdr:colOff>
      <xdr:row>23</xdr:row>
      <xdr:rowOff>152400</xdr:rowOff>
    </xdr:from>
    <xdr:to>
      <xdr:col>18</xdr:col>
      <xdr:colOff>579120</xdr:colOff>
      <xdr:row>38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43BD85-F3E3-4C17-BA98-C19FC6C6A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236220</xdr:colOff>
      <xdr:row>7</xdr:row>
      <xdr:rowOff>160020</xdr:rowOff>
    </xdr:from>
    <xdr:to>
      <xdr:col>18</xdr:col>
      <xdr:colOff>541020</xdr:colOff>
      <xdr:row>22</xdr:row>
      <xdr:rowOff>99060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EC663C-AE62-4341-8E6D-AA17F8EA3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4.531864351855" createdVersion="8" refreshedVersion="8" minRefreshableVersion="3" recordCount="203" xr:uid="{560EBF4C-19FE-448E-ADF6-E6D03F2CC4C4}">
  <cacheSource type="worksheet">
    <worksheetSource name="Tabela___Consolidada"/>
  </cacheSource>
  <cacheFields count="19">
    <cacheField name="ID_Funcionario" numFmtId="0">
      <sharedItems containsSemiMixedTypes="0" containsString="0" containsNumber="1" containsInteger="1" minValue="1000" maxValue="9999"/>
    </cacheField>
    <cacheField name="Nome" numFmtId="0">
      <sharedItems/>
    </cacheField>
    <cacheField name="Idade" numFmtId="0">
      <sharedItems containsSemiMixedTypes="0" containsString="0" containsNumber="1" containsInteger="1" minValue="20" maxValue="52"/>
    </cacheField>
    <cacheField name="Área" numFmtId="0">
      <sharedItems/>
    </cacheField>
    <cacheField name="Cargo" numFmtId="0">
      <sharedItems/>
    </cacheField>
    <cacheField name="Tipo_Contrato" numFmtId="0">
      <sharedItems count="4">
        <s v="Estágio"/>
        <s v="CLT"/>
        <s v="Jovem Aprendiz"/>
        <s v="PJ"/>
      </sharedItems>
    </cacheField>
    <cacheField name="Data_Admissão" numFmtId="14">
      <sharedItems containsSemiMixedTypes="0" containsNonDate="0" containsDate="1" containsString="0" minDate="2009-10-19T00:00:00" maxDate="2025-02-12T00:00:00" count="184">
        <d v="2024-02-19T00:00:00"/>
        <d v="2023-09-04T00:00:00"/>
        <d v="2023-03-06T00:00:00"/>
        <d v="2023-04-05T00:00:00"/>
        <d v="2024-03-11T00:00:00"/>
        <d v="2023-10-04T00:00:00"/>
        <d v="2024-01-08T00:00:00"/>
        <d v="2023-08-16T00:00:00"/>
        <d v="2023-05-03T00:00:00"/>
        <d v="2023-09-20T00:00:00"/>
        <d v="2024-04-10T00:00:00"/>
        <d v="2023-07-17T00:00:00"/>
        <d v="2024-02-14T00:00:00"/>
        <d v="2023-08-21T00:00:00"/>
        <d v="2024-02-07T00:00:00"/>
        <d v="2023-04-03T00:00:00"/>
        <d v="2024-03-20T00:00:00"/>
        <d v="2024-01-15T00:00:00"/>
        <d v="2019-10-21T00:00:00"/>
        <d v="2014-03-31T00:00:00"/>
        <d v="2011-02-14T00:00:00"/>
        <d v="2020-06-15T00:00:00"/>
        <d v="2015-04-13T00:00:00"/>
        <d v="2017-06-26T00:00:00"/>
        <d v="2015-11-23T00:00:00"/>
        <d v="2020-09-21T00:00:00"/>
        <d v="2020-02-03T00:00:00"/>
        <d v="2014-06-23T00:00:00"/>
        <d v="2015-05-18T00:00:00"/>
        <d v="2017-10-23T00:00:00"/>
        <d v="2015-11-09T00:00:00"/>
        <d v="2014-03-17T00:00:00"/>
        <d v="2014-01-20T00:00:00"/>
        <d v="2012-05-21T00:00:00"/>
        <d v="2018-01-29T00:00:00"/>
        <d v="2021-03-15T00:00:00"/>
        <d v="2019-11-04T00:00:00"/>
        <d v="2014-05-05T00:00:00"/>
        <d v="2015-01-12T00:00:00"/>
        <d v="2009-10-19T00:00:00"/>
        <d v="2020-01-13T00:00:00"/>
        <d v="2010-09-20T00:00:00"/>
        <d v="2021-03-29T00:00:00"/>
        <d v="2019-02-18T00:00:00"/>
        <d v="2014-11-03T00:00:00"/>
        <d v="2013-05-27T00:00:00"/>
        <d v="2015-09-28T00:00:00"/>
        <d v="2018-11-26T00:00:00"/>
        <d v="2013-04-08T00:00:00"/>
        <d v="2018-11-19T00:00:00"/>
        <d v="2011-12-05T00:00:00"/>
        <d v="2019-03-10T00:00:00"/>
        <d v="2012-01-16T00:00:00"/>
        <d v="2017-09-25T00:00:00"/>
        <d v="2021-07-12T00:00:00"/>
        <d v="2020-01-20T00:00:00"/>
        <d v="2019-01-07T00:00:00"/>
        <d v="2022-01-24T00:00:00"/>
        <d v="2015-04-07T00:00:00"/>
        <d v="2010-03-22T00:00:00"/>
        <d v="2023-05-02T00:00:00"/>
        <d v="2021-05-03T00:00:00"/>
        <d v="2012-02-27T00:00:00"/>
        <d v="2018-01-15T00:00:00"/>
        <d v="2021-09-13T00:00:00"/>
        <d v="2016-06-20T00:00:00"/>
        <d v="2021-10-04T00:00:00"/>
        <d v="2013-03-11T00:00:00"/>
        <d v="2019-02-25T00:00:00"/>
        <d v="2011-01-24T00:00:00"/>
        <d v="2021-02-01T00:00:00"/>
        <d v="2020-03-23T00:00:00"/>
        <d v="2018-02-19T00:00:00"/>
        <d v="2013-01-28T00:00:00"/>
        <d v="2021-08-23T00:00:00"/>
        <d v="2017-09-11T00:00:00"/>
        <d v="2017-07-13T00:00:00"/>
        <d v="2021-06-15T00:00:00"/>
        <d v="2017-10-30T00:00:00"/>
        <d v="2018-03-12T00:00:00"/>
        <d v="2022-02-07T00:00:00"/>
        <d v="2018-06-25T00:00:00"/>
        <d v="2017-03-13T00:00:00"/>
        <d v="2018-10-15T00:00:00"/>
        <d v="2015-10-19T00:00:00"/>
        <d v="2016-08-19T00:00:00"/>
        <d v="2022-08-01T00:00:00"/>
        <d v="2019-06-17T00:00:00"/>
        <d v="2019-09-02T00:00:00"/>
        <d v="2014-07-07T00:00:00"/>
        <d v="2021-01-18T00:00:00"/>
        <d v="2016-02-29T00:00:00"/>
        <d v="2017-01-23T00:00:00"/>
        <d v="2019-03-25T00:00:00"/>
        <d v="2021-11-29T00:00:00"/>
        <d v="2017-11-06T00:00:00"/>
        <d v="2013-08-19T00:00:00"/>
        <d v="2014-09-29T00:00:00"/>
        <d v="2017-02-10T00:00:00"/>
        <d v="2022-06-06T00:00:00"/>
        <d v="2018-03-05T00:00:00"/>
        <d v="2014-05-26T00:00:00"/>
        <d v="2013-06-03T00:00:00"/>
        <d v="2019-01-21T00:00:00"/>
        <d v="2020-03-16T00:00:00"/>
        <d v="2016-09-19T00:00:00"/>
        <d v="2023-01-09T00:00:00"/>
        <d v="2012-04-03T00:00:00"/>
        <d v="2018-08-27T00:00:00"/>
        <d v="2022-01-31T00:00:00"/>
        <d v="2018-09-10T00:00:00"/>
        <d v="2018-05-29T00:00:00"/>
        <d v="2019-12-02T00:00:00"/>
        <d v="2020-05-18T00:00:00"/>
        <d v="2018-07-02T00:00:00"/>
        <d v="2016-02-22T00:00:00"/>
        <d v="2016-03-14T00:00:00"/>
        <d v="2022-04-11T00:00:00"/>
        <d v="2016-04-18T00:00:00"/>
        <d v="2017-07-31T00:00:00"/>
        <d v="2021-02-08T00:00:00"/>
        <d v="2012-11-12T00:00:00"/>
        <d v="2022-06-13T00:00:00"/>
        <d v="2021-11-01T00:00:00"/>
        <d v="2018-02-01T00:00:00"/>
        <d v="2019-05-06T00:00:00"/>
        <d v="2019-08-01T00:00:00"/>
        <d v="2022-05-16T00:00:00"/>
        <d v="2020-09-14T00:00:00"/>
        <d v="2020-02-10T00:00:00"/>
        <d v="2021-11-08T00:00:00"/>
        <d v="2016-06-06T00:00:00"/>
        <d v="2017-08-14T00:00:00"/>
        <d v="2016-08-22T00:00:00"/>
        <d v="2018-07-09T00:00:00"/>
        <d v="2018-04-09T00:00:00"/>
        <d v="2012-03-19T00:00:00"/>
        <d v="2017-03-27T00:00:00"/>
        <d v="2019-04-08T00:00:00"/>
        <d v="2014-02-24T00:00:00"/>
        <d v="2014-06-09T00:00:00"/>
        <d v="2018-09-17T00:00:00"/>
        <d v="2017-05-22T00:00:00"/>
        <d v="2016-10-31T00:00:00"/>
        <d v="2014-04-14T00:00:00"/>
        <d v="2022-03-21T00:00:00"/>
        <d v="2018-12-10T00:00:00"/>
        <d v="2018-09-24T00:00:00"/>
        <d v="2012-09-17T00:00:00"/>
        <d v="2021-04-26T00:00:00"/>
        <d v="2015-01-19T00:00:00"/>
        <d v="2016-10-17T00:00:00"/>
        <d v="2022-03-28T00:00:00"/>
        <d v="2016-11-21T00:00:00"/>
        <d v="2021-10-11T00:00:00"/>
        <d v="2015-06-29T00:00:00"/>
        <d v="2019-07-01T00:00:00"/>
        <d v="2018-06-11T00:00:00"/>
        <d v="2022-06-01T00:00:00"/>
        <d v="2014-09-01T00:00:00"/>
        <d v="2020-07-06T00:00:00"/>
        <d v="2011-10-03T00:00:00"/>
        <d v="2010-05-10T00:00:00"/>
        <d v="2016-01-11T00:00:00"/>
        <d v="2016-11-28T00:00:00"/>
        <d v="2020-10-05T00:00:00"/>
        <d v="2018-12-17T00:00:00"/>
        <d v="2020-11-16T00:00:00"/>
        <d v="2021-06-28T00:00:00"/>
        <d v="2019-09-09T00:00:00"/>
        <d v="2021-05-10T00:00:00"/>
        <d v="2015-07-06T00:00:00"/>
        <d v="2012-04-02T00:00:00"/>
        <d v="2020-10-19T00:00:00"/>
        <d v="2021-07-19T00:00:00"/>
        <d v="2022-09-05T00:00:00"/>
        <d v="2020-08-17T00:00:00"/>
        <d v="2019-06-24T00:00:00"/>
        <d v="2019-04-29T00:00:00"/>
        <d v="2024-02-11T00:00:00"/>
        <d v="2024-02-09T00:00:00"/>
        <d v="2024-02-05T00:00:00"/>
        <d v="2025-02-11T00:00:00"/>
        <d v="2018-07-16T00:00:00"/>
      </sharedItems>
      <fieldGroup par="18"/>
    </cacheField>
    <cacheField name="Data_Desligamento" numFmtId="0">
      <sharedItems containsString="0" containsBlank="1" containsNumber="1" containsInteger="1" minValue="44926" maxValue="45519"/>
    </cacheField>
    <cacheField name="Motivo_Desligamento" numFmtId="0">
      <sharedItems containsBlank="1"/>
    </cacheField>
    <cacheField name="Salário_Mensal" numFmtId="44">
      <sharedItems containsSemiMixedTypes="0" containsString="0" containsNumber="1" containsInteger="1" minValue="1700" maxValue="23000"/>
    </cacheField>
    <cacheField name="Modalidade" numFmtId="0">
      <sharedItems count="4">
        <s v="Híbrido"/>
        <s v="Presencial"/>
        <s v="Remoto"/>
        <s v="Home Office"/>
      </sharedItems>
    </cacheField>
    <cacheField name="Performance_Último_Ano" numFmtId="0">
      <sharedItems containsSemiMixedTypes="0" containsString="0" containsNumber="1" containsInteger="1" minValue="2" maxValue="5"/>
    </cacheField>
    <cacheField name="Dias_Afastamento_12m" numFmtId="0">
      <sharedItems containsSemiMixedTypes="0" containsString="0" containsNumber="1" containsInteger="1" minValue="0" maxValue="10"/>
    </cacheField>
    <cacheField name="Treinamentos_12m" numFmtId="0">
      <sharedItems containsSemiMixedTypes="0" containsString="0" containsNumber="1" containsInteger="1" minValue="0" maxValue="10"/>
    </cacheField>
    <cacheField name="Mês de Admissão" numFmtId="0">
      <sharedItems/>
    </cacheField>
    <cacheField name="Ano de Admissão" numFmtId="0">
      <sharedItems containsSemiMixedTypes="0" containsString="0" containsNumber="1" containsInteger="1" minValue="2009" maxValue="2025" count="17">
        <n v="2024"/>
        <n v="2023"/>
        <n v="2019"/>
        <n v="2014"/>
        <n v="2011"/>
        <n v="2020"/>
        <n v="2015"/>
        <n v="2017"/>
        <n v="2012"/>
        <n v="2018"/>
        <n v="2021"/>
        <n v="2009"/>
        <n v="2010"/>
        <n v="2013"/>
        <n v="2022"/>
        <n v="2016"/>
        <n v="2025"/>
      </sharedItems>
    </cacheField>
    <cacheField name="Meses (Data_Admissão)" numFmtId="0" databaseField="0">
      <fieldGroup base="6">
        <rangePr groupBy="months" startDate="2009-10-19T00:00:00" endDate="2025-02-12T00:00:00"/>
        <groupItems count="14">
          <s v="&lt;19/10/200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2/02/2025"/>
        </groupItems>
      </fieldGroup>
    </cacheField>
    <cacheField name="Trimestres (Data_Admissão)" numFmtId="0" databaseField="0">
      <fieldGroup base="6">
        <rangePr groupBy="quarters" startDate="2009-10-19T00:00:00" endDate="2025-02-12T00:00:00"/>
        <groupItems count="6">
          <s v="&lt;19/10/2009"/>
          <s v="Trim1"/>
          <s v="Trim2"/>
          <s v="Trim3"/>
          <s v="Trim4"/>
          <s v="&gt;12/02/2025"/>
        </groupItems>
      </fieldGroup>
    </cacheField>
    <cacheField name="Anos (Data_Admissão)" numFmtId="0" databaseField="0">
      <fieldGroup base="6">
        <rangePr groupBy="years" startDate="2009-10-19T00:00:00" endDate="2025-02-12T00:00:00"/>
        <groupItems count="19">
          <s v="&lt;19/10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2/02/2025"/>
        </groupItems>
      </fieldGroup>
    </cacheField>
  </cacheFields>
  <extLst>
    <ext xmlns:x14="http://schemas.microsoft.com/office/spreadsheetml/2009/9/main" uri="{725AE2AE-9491-48be-B2B4-4EB974FC3084}">
      <x14:pivotCacheDefinition pivotCacheId="859939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1002"/>
    <s v="Yara Castro"/>
    <n v="25"/>
    <s v="Comercial"/>
    <s v="Assistente Comercial"/>
    <x v="0"/>
    <x v="0"/>
    <m/>
    <m/>
    <n v="1800"/>
    <x v="0"/>
    <n v="3"/>
    <n v="2"/>
    <n v="2"/>
    <s v="fevereiro"/>
    <x v="0"/>
  </r>
  <r>
    <n v="1020"/>
    <s v="Brenda Castro"/>
    <n v="24"/>
    <s v="RH"/>
    <s v="Assistente de RH"/>
    <x v="0"/>
    <x v="1"/>
    <m/>
    <m/>
    <n v="1800"/>
    <x v="0"/>
    <n v="4"/>
    <n v="0"/>
    <n v="2"/>
    <s v="setembro"/>
    <x v="1"/>
  </r>
  <r>
    <n v="1026"/>
    <s v="Ximena Duarte"/>
    <n v="25"/>
    <s v="Marketing"/>
    <s v="Analista de Mídias Digitais"/>
    <x v="0"/>
    <x v="2"/>
    <m/>
    <m/>
    <n v="1900"/>
    <x v="0"/>
    <n v="3"/>
    <n v="0"/>
    <n v="2"/>
    <s v="março"/>
    <x v="1"/>
  </r>
  <r>
    <n v="1035"/>
    <s v="Beatriz Pinto"/>
    <n v="20"/>
    <s v="Marketing"/>
    <s v="Analista de Mídias Digitais"/>
    <x v="0"/>
    <x v="3"/>
    <m/>
    <m/>
    <n v="1800"/>
    <x v="1"/>
    <n v="5"/>
    <n v="8"/>
    <n v="2"/>
    <s v="abril"/>
    <x v="1"/>
  </r>
  <r>
    <n v="1047"/>
    <s v="Karen Dias"/>
    <n v="24"/>
    <s v="Marketing"/>
    <s v="Assistente de Marketing"/>
    <x v="0"/>
    <x v="4"/>
    <m/>
    <m/>
    <n v="1900"/>
    <x v="0"/>
    <n v="3"/>
    <n v="5"/>
    <n v="2"/>
    <s v="março"/>
    <x v="0"/>
  </r>
  <r>
    <n v="1053"/>
    <s v="Antonia Leite"/>
    <n v="29"/>
    <s v="RH"/>
    <s v="Assistente de RH"/>
    <x v="0"/>
    <x v="5"/>
    <m/>
    <m/>
    <n v="1800"/>
    <x v="1"/>
    <n v="3"/>
    <n v="7"/>
    <n v="2"/>
    <s v="outubro"/>
    <x v="1"/>
  </r>
  <r>
    <n v="1082"/>
    <s v="Júlia Morais"/>
    <n v="24"/>
    <s v="RH"/>
    <s v="Assistente de RH"/>
    <x v="0"/>
    <x v="6"/>
    <m/>
    <m/>
    <n v="1700"/>
    <x v="1"/>
    <n v="4"/>
    <n v="1"/>
    <n v="2"/>
    <s v="janeiro"/>
    <x v="0"/>
  </r>
  <r>
    <n v="1086"/>
    <s v="Fernando Campos"/>
    <n v="24"/>
    <s v="RH"/>
    <s v="Assistente de RH"/>
    <x v="0"/>
    <x v="7"/>
    <m/>
    <m/>
    <n v="1800"/>
    <x v="1"/>
    <n v="4"/>
    <n v="0"/>
    <n v="2"/>
    <s v="agosto"/>
    <x v="1"/>
  </r>
  <r>
    <n v="1093"/>
    <s v="Daniela Maria"/>
    <n v="28"/>
    <s v="Marketing"/>
    <s v="Assistente de Marketing"/>
    <x v="0"/>
    <x v="8"/>
    <m/>
    <m/>
    <n v="1800"/>
    <x v="1"/>
    <n v="3"/>
    <n v="0"/>
    <n v="2"/>
    <s v="maio"/>
    <x v="1"/>
  </r>
  <r>
    <n v="1101"/>
    <s v="Jorge Conceição"/>
    <n v="26"/>
    <s v="Marketing"/>
    <s v="Assistente de Marketing"/>
    <x v="0"/>
    <x v="9"/>
    <m/>
    <m/>
    <n v="1800"/>
    <x v="0"/>
    <n v="4"/>
    <n v="7"/>
    <n v="2"/>
    <s v="setembro"/>
    <x v="1"/>
  </r>
  <r>
    <n v="1115"/>
    <s v="Davi Guimaraes"/>
    <n v="23"/>
    <s v="Marketing"/>
    <s v="Assistente de Marketing"/>
    <x v="0"/>
    <x v="10"/>
    <m/>
    <m/>
    <n v="1800"/>
    <x v="1"/>
    <n v="5"/>
    <n v="0"/>
    <n v="2"/>
    <s v="abril"/>
    <x v="0"/>
  </r>
  <r>
    <n v="1122"/>
    <s v="Jéssica Matos"/>
    <n v="24"/>
    <s v="RH"/>
    <s v="Assistente de RH"/>
    <x v="0"/>
    <x v="11"/>
    <m/>
    <m/>
    <n v="1800"/>
    <x v="1"/>
    <n v="4"/>
    <n v="7"/>
    <n v="2"/>
    <s v="julho"/>
    <x v="1"/>
  </r>
  <r>
    <n v="1127"/>
    <s v="Francisco de Lima"/>
    <n v="27"/>
    <s v="RH"/>
    <s v="Assistente de RH"/>
    <x v="0"/>
    <x v="12"/>
    <m/>
    <m/>
    <n v="1800"/>
    <x v="1"/>
    <n v="3"/>
    <n v="10"/>
    <n v="2"/>
    <s v="fevereiro"/>
    <x v="0"/>
  </r>
  <r>
    <n v="1132"/>
    <s v="Vanessa Castro"/>
    <n v="24"/>
    <s v="Marketing"/>
    <s v="Assistente de Marketing"/>
    <x v="0"/>
    <x v="13"/>
    <m/>
    <m/>
    <n v="1850"/>
    <x v="0"/>
    <n v="3"/>
    <n v="0"/>
    <n v="2"/>
    <s v="agosto"/>
    <x v="1"/>
  </r>
  <r>
    <n v="1140"/>
    <s v="Thiago Pires"/>
    <n v="23"/>
    <s v="RH"/>
    <s v="Assistente de RH"/>
    <x v="0"/>
    <x v="14"/>
    <m/>
    <m/>
    <n v="1800"/>
    <x v="1"/>
    <n v="4"/>
    <n v="6"/>
    <n v="2"/>
    <s v="fevereiro"/>
    <x v="0"/>
  </r>
  <r>
    <n v="1144"/>
    <s v="Yasmin Rocha"/>
    <n v="24"/>
    <s v="Marketing"/>
    <s v="Assistente de Marketing"/>
    <x v="0"/>
    <x v="15"/>
    <m/>
    <m/>
    <n v="1850"/>
    <x v="0"/>
    <n v="3"/>
    <n v="0"/>
    <n v="2"/>
    <s v="abril"/>
    <x v="1"/>
  </r>
  <r>
    <n v="1153"/>
    <s v="Juliana de Castro"/>
    <n v="26"/>
    <s v="Comercial"/>
    <s v="Assistente Comercial"/>
    <x v="0"/>
    <x v="16"/>
    <m/>
    <m/>
    <n v="1800"/>
    <x v="0"/>
    <n v="2"/>
    <n v="0"/>
    <n v="2"/>
    <s v="março"/>
    <x v="0"/>
  </r>
  <r>
    <n v="1199"/>
    <s v="Yasmin Brito"/>
    <n v="22"/>
    <s v="RH"/>
    <s v="Assistente de RH"/>
    <x v="0"/>
    <x v="17"/>
    <m/>
    <m/>
    <n v="1800"/>
    <x v="1"/>
    <n v="4"/>
    <n v="6"/>
    <n v="2"/>
    <s v="janeiro"/>
    <x v="0"/>
  </r>
  <r>
    <n v="1000"/>
    <s v="Marcelo Vieira"/>
    <n v="32"/>
    <s v="Finanças"/>
    <s v="Analista Financeiro Jr"/>
    <x v="1"/>
    <x v="18"/>
    <m/>
    <m/>
    <n v="4800"/>
    <x v="1"/>
    <n v="3"/>
    <n v="1"/>
    <n v="3"/>
    <s v="outubro"/>
    <x v="2"/>
  </r>
  <r>
    <n v="1001"/>
    <s v="Zenaide Lima"/>
    <n v="40"/>
    <s v="Qualidade"/>
    <s v="Auditor da Qualidade"/>
    <x v="1"/>
    <x v="19"/>
    <m/>
    <m/>
    <n v="5400"/>
    <x v="0"/>
    <n v="4"/>
    <n v="0"/>
    <n v="4"/>
    <s v="março"/>
    <x v="3"/>
  </r>
  <r>
    <n v="1003"/>
    <s v="Nelson Barros"/>
    <n v="47"/>
    <s v="Finanças"/>
    <s v="Controller"/>
    <x v="1"/>
    <x v="20"/>
    <m/>
    <m/>
    <n v="10100"/>
    <x v="0"/>
    <n v="4"/>
    <n v="2"/>
    <n v="3"/>
    <s v="fevereiro"/>
    <x v="4"/>
  </r>
  <r>
    <n v="1004"/>
    <s v="Giovana Luz"/>
    <n v="30"/>
    <s v="Atendimento"/>
    <s v="Analista de Atendimento"/>
    <x v="1"/>
    <x v="21"/>
    <m/>
    <m/>
    <n v="3200"/>
    <x v="2"/>
    <n v="3"/>
    <n v="0"/>
    <n v="2"/>
    <s v="junho"/>
    <x v="5"/>
  </r>
  <r>
    <n v="1005"/>
    <s v="Flávia Teles"/>
    <n v="38"/>
    <s v="Produção"/>
    <s v="Coordenador de Produção"/>
    <x v="1"/>
    <x v="22"/>
    <m/>
    <m/>
    <n v="8400"/>
    <x v="1"/>
    <n v="4"/>
    <n v="3"/>
    <n v="2"/>
    <s v="abril"/>
    <x v="6"/>
  </r>
  <r>
    <n v="1006"/>
    <s v="Otília Ramos"/>
    <n v="34"/>
    <s v="Atendimento"/>
    <s v="Supervisor de Atendimento"/>
    <x v="1"/>
    <x v="23"/>
    <m/>
    <m/>
    <n v="4600"/>
    <x v="1"/>
    <n v="4"/>
    <n v="2"/>
    <n v="2"/>
    <s v="junho"/>
    <x v="7"/>
  </r>
  <r>
    <n v="1007"/>
    <s v="Felipe Costa"/>
    <n v="45"/>
    <s v="Operações"/>
    <s v="Gerente de Operações"/>
    <x v="1"/>
    <x v="24"/>
    <m/>
    <m/>
    <n v="11500"/>
    <x v="1"/>
    <n v="4"/>
    <n v="4"/>
    <n v="1"/>
    <s v="novembro"/>
    <x v="6"/>
  </r>
  <r>
    <n v="1008"/>
    <s v="Heloísa Bernardes"/>
    <n v="29"/>
    <s v="Marketing"/>
    <s v="Analista de Mídias Digitais"/>
    <x v="1"/>
    <x v="25"/>
    <m/>
    <m/>
    <n v="4500"/>
    <x v="2"/>
    <n v="3"/>
    <n v="0"/>
    <n v="4"/>
    <s v="setembro"/>
    <x v="5"/>
  </r>
  <r>
    <n v="1009"/>
    <s v="Luana Paiva"/>
    <n v="30"/>
    <s v="Atendimento"/>
    <s v="Atendente"/>
    <x v="1"/>
    <x v="26"/>
    <m/>
    <m/>
    <n v="2700"/>
    <x v="1"/>
    <n v="3"/>
    <n v="0"/>
    <n v="2"/>
    <s v="fevereiro"/>
    <x v="5"/>
  </r>
  <r>
    <n v="1010"/>
    <s v="Olívia Barbosa"/>
    <n v="41"/>
    <s v="Marketing"/>
    <s v="Coordenadora de Marketing"/>
    <x v="1"/>
    <x v="27"/>
    <m/>
    <m/>
    <n v="8200"/>
    <x v="0"/>
    <n v="5"/>
    <n v="0"/>
    <n v="5"/>
    <s v="junho"/>
    <x v="3"/>
  </r>
  <r>
    <n v="1011"/>
    <s v="Cíntia Prado"/>
    <n v="38"/>
    <s v="Finanças"/>
    <s v="Coordenador Financeiro"/>
    <x v="1"/>
    <x v="28"/>
    <m/>
    <m/>
    <n v="9200"/>
    <x v="0"/>
    <n v="4"/>
    <n v="2"/>
    <n v="3"/>
    <s v="maio"/>
    <x v="6"/>
  </r>
  <r>
    <n v="1012"/>
    <s v="Leila Assis"/>
    <n v="35"/>
    <s v="RH"/>
    <s v="Business Partner"/>
    <x v="1"/>
    <x v="29"/>
    <m/>
    <m/>
    <n v="8700"/>
    <x v="0"/>
    <n v="4"/>
    <n v="1"/>
    <n v="3"/>
    <s v="outubro"/>
    <x v="7"/>
  </r>
  <r>
    <n v="1013"/>
    <s v="João Pedro Ramos"/>
    <n v="37"/>
    <s v="Logística"/>
    <s v="Coordenador de Logística"/>
    <x v="1"/>
    <x v="30"/>
    <m/>
    <m/>
    <n v="8300"/>
    <x v="1"/>
    <n v="4"/>
    <n v="3"/>
    <n v="2"/>
    <s v="novembro"/>
    <x v="6"/>
  </r>
  <r>
    <n v="1014"/>
    <s v="Otto Ferraz"/>
    <n v="39"/>
    <s v="Produção"/>
    <s v="Supervisor de Produção"/>
    <x v="1"/>
    <x v="31"/>
    <m/>
    <m/>
    <n v="7100"/>
    <x v="1"/>
    <n v="3"/>
    <n v="4"/>
    <n v="2"/>
    <s v="março"/>
    <x v="3"/>
  </r>
  <r>
    <n v="1015"/>
    <s v="Igor Batista"/>
    <n v="40"/>
    <s v="Jurídico"/>
    <s v="Advogado Pleno"/>
    <x v="1"/>
    <x v="32"/>
    <m/>
    <m/>
    <n v="9800"/>
    <x v="0"/>
    <n v="4"/>
    <n v="0"/>
    <n v="2"/>
    <s v="janeiro"/>
    <x v="3"/>
  </r>
  <r>
    <n v="1016"/>
    <s v="William Ramos"/>
    <n v="45"/>
    <s v="Finanças"/>
    <s v="Gerente Financeiro"/>
    <x v="1"/>
    <x v="33"/>
    <n v="45016"/>
    <s v="Pedido de demissão"/>
    <n v="13500"/>
    <x v="1"/>
    <n v="4"/>
    <n v="2"/>
    <n v="2"/>
    <s v="maio"/>
    <x v="8"/>
  </r>
  <r>
    <n v="1017"/>
    <s v="Vinícius Lopes"/>
    <n v="31"/>
    <s v="Operações"/>
    <s v="Coordenador Operacional"/>
    <x v="1"/>
    <x v="34"/>
    <m/>
    <m/>
    <n v="7900"/>
    <x v="1"/>
    <n v="3"/>
    <n v="3"/>
    <n v="2"/>
    <s v="janeiro"/>
    <x v="9"/>
  </r>
  <r>
    <n v="1018"/>
    <s v="Heitor Silva"/>
    <n v="28"/>
    <s v="TI"/>
    <s v="Analista de Sistemas"/>
    <x v="1"/>
    <x v="35"/>
    <m/>
    <m/>
    <n v="6800"/>
    <x v="0"/>
    <n v="4"/>
    <n v="0"/>
    <n v="3"/>
    <s v="março"/>
    <x v="10"/>
  </r>
  <r>
    <n v="1019"/>
    <s v="Helena Tavares"/>
    <n v="33"/>
    <s v="Qualidade"/>
    <s v="Analista de Qualidade"/>
    <x v="1"/>
    <x v="36"/>
    <m/>
    <m/>
    <n v="4800"/>
    <x v="0"/>
    <n v="4"/>
    <n v="0"/>
    <n v="5"/>
    <s v="novembro"/>
    <x v="2"/>
  </r>
  <r>
    <n v="1021"/>
    <s v="César Monteiro"/>
    <n v="40"/>
    <s v="Logística"/>
    <s v="Supervisor de Logística"/>
    <x v="1"/>
    <x v="37"/>
    <m/>
    <m/>
    <n v="6400"/>
    <x v="1"/>
    <n v="3"/>
    <n v="4"/>
    <n v="1"/>
    <s v="maio"/>
    <x v="3"/>
  </r>
  <r>
    <n v="1022"/>
    <s v="Ivan Oliveira"/>
    <n v="41"/>
    <s v="Operações"/>
    <s v="Analista de Logística"/>
    <x v="1"/>
    <x v="38"/>
    <m/>
    <m/>
    <n v="6200"/>
    <x v="0"/>
    <n v="3"/>
    <n v="4"/>
    <n v="2"/>
    <s v="janeiro"/>
    <x v="6"/>
  </r>
  <r>
    <n v="1023"/>
    <s v="Marcelo Corrêa"/>
    <n v="50"/>
    <s v="Operações"/>
    <s v="Diretor de Operações"/>
    <x v="1"/>
    <x v="39"/>
    <m/>
    <m/>
    <n v="23000"/>
    <x v="0"/>
    <n v="5"/>
    <n v="1"/>
    <n v="1"/>
    <s v="outubro"/>
    <x v="11"/>
  </r>
  <r>
    <n v="1024"/>
    <s v="Ximena Silva"/>
    <n v="29"/>
    <s v="Atendimento"/>
    <s v="Analista de Atendimento"/>
    <x v="1"/>
    <x v="40"/>
    <m/>
    <m/>
    <n v="3200"/>
    <x v="2"/>
    <n v="3"/>
    <n v="0"/>
    <n v="2"/>
    <s v="janeiro"/>
    <x v="5"/>
  </r>
  <r>
    <n v="1025"/>
    <s v="Zilda Fernandes"/>
    <n v="46"/>
    <s v="Operações"/>
    <s v="Gerente de Operações"/>
    <x v="1"/>
    <x v="41"/>
    <m/>
    <m/>
    <n v="14000"/>
    <x v="0"/>
    <n v="4"/>
    <n v="4"/>
    <n v="1"/>
    <s v="setembro"/>
    <x v="12"/>
  </r>
  <r>
    <n v="1027"/>
    <s v="Tales Moraes"/>
    <n v="27"/>
    <s v="Comercial"/>
    <s v="Vendedor Externo"/>
    <x v="1"/>
    <x v="42"/>
    <m/>
    <m/>
    <n v="4100"/>
    <x v="2"/>
    <n v="3"/>
    <n v="1"/>
    <n v="2"/>
    <s v="março"/>
    <x v="10"/>
  </r>
  <r>
    <n v="1028"/>
    <s v="Sabrina Araujo"/>
    <n v="29"/>
    <s v="Qualidade"/>
    <s v="Analista de Qualidade"/>
    <x v="1"/>
    <x v="43"/>
    <m/>
    <m/>
    <n v="4500"/>
    <x v="0"/>
    <n v="3"/>
    <n v="1"/>
    <n v="3"/>
    <s v="fevereiro"/>
    <x v="2"/>
  </r>
  <r>
    <n v="1029"/>
    <s v="Ana Souza"/>
    <n v="29"/>
    <s v="Finanças"/>
    <s v="Analista Financeiro Pleno"/>
    <x v="1"/>
    <x v="35"/>
    <m/>
    <m/>
    <n v="5200"/>
    <x v="1"/>
    <n v="4"/>
    <n v="2"/>
    <n v="3"/>
    <s v="março"/>
    <x v="10"/>
  </r>
  <r>
    <n v="1030"/>
    <s v="Fernando Rios"/>
    <n v="39"/>
    <s v="Logística"/>
    <s v="Supervisor de Logística"/>
    <x v="1"/>
    <x v="44"/>
    <m/>
    <m/>
    <n v="6500"/>
    <x v="1"/>
    <n v="3"/>
    <n v="4"/>
    <n v="1"/>
    <s v="novembro"/>
    <x v="3"/>
  </r>
  <r>
    <n v="1031"/>
    <s v="Júlio Cordeiro"/>
    <n v="44"/>
    <s v="Operações"/>
    <s v="Gerente de Operações"/>
    <x v="1"/>
    <x v="45"/>
    <m/>
    <m/>
    <n v="14000"/>
    <x v="0"/>
    <n v="4"/>
    <n v="3"/>
    <n v="1"/>
    <s v="maio"/>
    <x v="13"/>
  </r>
  <r>
    <n v="1032"/>
    <s v="Ursula Amaral"/>
    <n v="39"/>
    <s v="Produção"/>
    <s v="Supervisor de Produção"/>
    <x v="1"/>
    <x v="46"/>
    <m/>
    <m/>
    <n v="7200"/>
    <x v="1"/>
    <n v="3"/>
    <n v="4"/>
    <n v="2"/>
    <s v="setembro"/>
    <x v="6"/>
  </r>
  <r>
    <n v="1033"/>
    <s v="Kaio Aragão"/>
    <n v="32"/>
    <s v="Finanças"/>
    <s v="Analista de Tesouraria"/>
    <x v="1"/>
    <x v="47"/>
    <m/>
    <m/>
    <n v="5600"/>
    <x v="1"/>
    <n v="3"/>
    <n v="1"/>
    <n v="3"/>
    <s v="novembro"/>
    <x v="9"/>
  </r>
  <r>
    <n v="1034"/>
    <s v="Ursula Macedo"/>
    <n v="39"/>
    <s v="Jurídico"/>
    <s v="Coordenador Jurídico"/>
    <x v="1"/>
    <x v="48"/>
    <m/>
    <m/>
    <n v="11500"/>
    <x v="0"/>
    <n v="4"/>
    <n v="0"/>
    <n v="2"/>
    <s v="abril"/>
    <x v="13"/>
  </r>
  <r>
    <n v="1036"/>
    <s v="Patrícia Cunha"/>
    <n v="31"/>
    <s v="Qualidade"/>
    <s v="Analista de Qualidade"/>
    <x v="1"/>
    <x v="36"/>
    <m/>
    <m/>
    <n v="5400"/>
    <x v="0"/>
    <n v="5"/>
    <n v="0"/>
    <n v="4"/>
    <s v="novembro"/>
    <x v="2"/>
  </r>
  <r>
    <n v="1037"/>
    <s v="Xavier Costa"/>
    <n v="32"/>
    <s v="Atendimento"/>
    <s v="Supervisor de Atendimento"/>
    <x v="1"/>
    <x v="49"/>
    <m/>
    <m/>
    <n v="4600"/>
    <x v="1"/>
    <n v="4"/>
    <n v="2"/>
    <n v="2"/>
    <s v="novembro"/>
    <x v="9"/>
  </r>
  <r>
    <n v="1038"/>
    <s v="Helena Araújo"/>
    <n v="30"/>
    <s v="Qualidade"/>
    <s v="Analista de Qualidade"/>
    <x v="1"/>
    <x v="36"/>
    <m/>
    <m/>
    <n v="4600"/>
    <x v="0"/>
    <n v="3"/>
    <n v="1"/>
    <n v="3"/>
    <s v="novembro"/>
    <x v="2"/>
  </r>
  <r>
    <n v="1039"/>
    <s v="Rodrigo Falcão"/>
    <n v="47"/>
    <s v="Operações"/>
    <s v="Coordenador Operacional"/>
    <x v="1"/>
    <x v="50"/>
    <n v="44957"/>
    <s v="Aposentadoria"/>
    <n v="9200"/>
    <x v="1"/>
    <n v="4"/>
    <n v="2"/>
    <n v="1"/>
    <s v="dezembro"/>
    <x v="4"/>
  </r>
  <r>
    <n v="1040"/>
    <s v="Alex Martins"/>
    <n v="31"/>
    <s v="TI"/>
    <s v="Analista de Sistemas"/>
    <x v="1"/>
    <x v="51"/>
    <m/>
    <m/>
    <n v="6800"/>
    <x v="0"/>
    <n v="4"/>
    <n v="0"/>
    <n v="3"/>
    <s v="março"/>
    <x v="2"/>
  </r>
  <r>
    <n v="1041"/>
    <s v="Quirino Almeida"/>
    <n v="45"/>
    <s v="Logística"/>
    <s v="Gerente de Logística"/>
    <x v="1"/>
    <x v="52"/>
    <m/>
    <m/>
    <n v="13800"/>
    <x v="1"/>
    <n v="4"/>
    <n v="3"/>
    <n v="1"/>
    <s v="janeiro"/>
    <x v="8"/>
  </r>
  <r>
    <n v="1042"/>
    <s v="Felipe Duarte"/>
    <n v="34"/>
    <s v="Operações"/>
    <s v="Supervisor Operacional"/>
    <x v="1"/>
    <x v="53"/>
    <m/>
    <m/>
    <n v="7000"/>
    <x v="1"/>
    <n v="3"/>
    <n v="3"/>
    <n v="2"/>
    <s v="setembro"/>
    <x v="7"/>
  </r>
  <r>
    <n v="1043"/>
    <s v="Thiago Martins"/>
    <n v="29"/>
    <s v="Marketing"/>
    <s v="Analista de Mídias Digitais"/>
    <x v="1"/>
    <x v="54"/>
    <m/>
    <m/>
    <n v="4600"/>
    <x v="2"/>
    <n v="3"/>
    <n v="2"/>
    <n v="4"/>
    <s v="julho"/>
    <x v="10"/>
  </r>
  <r>
    <n v="1044"/>
    <s v="Sofia Cardoso"/>
    <n v="29"/>
    <s v="Qualidade"/>
    <s v="Inspetora de Qualidade"/>
    <x v="1"/>
    <x v="55"/>
    <m/>
    <m/>
    <n v="3900"/>
    <x v="1"/>
    <n v="3"/>
    <n v="1"/>
    <n v="3"/>
    <s v="janeiro"/>
    <x v="5"/>
  </r>
  <r>
    <n v="1045"/>
    <s v="Gabriel Silveira"/>
    <n v="31"/>
    <s v="TI"/>
    <s v="Analista de Sistemas"/>
    <x v="1"/>
    <x v="56"/>
    <m/>
    <m/>
    <n v="6900"/>
    <x v="0"/>
    <n v="4"/>
    <n v="0"/>
    <n v="3"/>
    <s v="janeiro"/>
    <x v="2"/>
  </r>
  <r>
    <n v="1046"/>
    <s v="Vanessa Teixeira"/>
    <n v="26"/>
    <s v="RH"/>
    <s v="Generalista de RH"/>
    <x v="1"/>
    <x v="57"/>
    <m/>
    <m/>
    <n v="5200"/>
    <x v="0"/>
    <n v="4"/>
    <n v="1"/>
    <n v="3"/>
    <s v="janeiro"/>
    <x v="14"/>
  </r>
  <r>
    <n v="1048"/>
    <s v="Estevão Pereira"/>
    <n v="42"/>
    <s v="Operações"/>
    <s v="Supervisor Operacional"/>
    <x v="1"/>
    <x v="58"/>
    <m/>
    <m/>
    <n v="7100"/>
    <x v="1"/>
    <n v="3"/>
    <n v="5"/>
    <n v="1"/>
    <s v="abril"/>
    <x v="6"/>
  </r>
  <r>
    <n v="1049"/>
    <s v="Gustavo Pacheco"/>
    <n v="45"/>
    <s v="Comercial"/>
    <s v="Key Account Manager"/>
    <x v="1"/>
    <x v="59"/>
    <m/>
    <m/>
    <n v="15200"/>
    <x v="0"/>
    <n v="4"/>
    <n v="2"/>
    <n v="2"/>
    <s v="março"/>
    <x v="12"/>
  </r>
  <r>
    <n v="1050"/>
    <s v="Júlia Faria"/>
    <n v="23"/>
    <s v="Atendimento"/>
    <s v="Atendente"/>
    <x v="1"/>
    <x v="60"/>
    <m/>
    <m/>
    <n v="2600"/>
    <x v="1"/>
    <n v="3"/>
    <n v="0"/>
    <n v="2"/>
    <s v="maio"/>
    <x v="1"/>
  </r>
  <r>
    <n v="1051"/>
    <s v="Daniela Freitas"/>
    <n v="29"/>
    <s v="Marketing"/>
    <s v="Analista de Comunicação"/>
    <x v="1"/>
    <x v="61"/>
    <m/>
    <m/>
    <n v="4700"/>
    <x v="0"/>
    <n v="4"/>
    <n v="1"/>
    <n v="3"/>
    <s v="maio"/>
    <x v="10"/>
  </r>
  <r>
    <n v="1052"/>
    <s v="Xavier Pacheco"/>
    <n v="43"/>
    <s v="Jurídico"/>
    <s v="Advogado Sênior"/>
    <x v="1"/>
    <x v="62"/>
    <m/>
    <m/>
    <n v="12500"/>
    <x v="0"/>
    <n v="4"/>
    <n v="0"/>
    <n v="2"/>
    <s v="fevereiro"/>
    <x v="8"/>
  </r>
  <r>
    <n v="1054"/>
    <s v="Fernanda Guimarães"/>
    <n v="32"/>
    <s v="RH"/>
    <s v="Analista de Remuneração"/>
    <x v="1"/>
    <x v="63"/>
    <m/>
    <m/>
    <n v="6800"/>
    <x v="0"/>
    <n v="4"/>
    <n v="0"/>
    <n v="3"/>
    <s v="janeiro"/>
    <x v="9"/>
  </r>
  <r>
    <n v="1055"/>
    <s v="Bianca Dantas"/>
    <n v="27"/>
    <s v="Comercial"/>
    <s v="Executivo de Vendas"/>
    <x v="1"/>
    <x v="64"/>
    <m/>
    <m/>
    <n v="4300"/>
    <x v="0"/>
    <n v="3"/>
    <n v="0"/>
    <n v="3"/>
    <s v="setembro"/>
    <x v="10"/>
  </r>
  <r>
    <n v="1056"/>
    <s v="Igor Farias"/>
    <n v="36"/>
    <s v="Operações"/>
    <s v="Analista de Logística"/>
    <x v="1"/>
    <x v="65"/>
    <m/>
    <m/>
    <n v="6000"/>
    <x v="0"/>
    <n v="3"/>
    <n v="2"/>
    <n v="2"/>
    <s v="junho"/>
    <x v="15"/>
  </r>
  <r>
    <n v="1057"/>
    <s v="Yara Leite"/>
    <n v="27"/>
    <s v="Atendimento"/>
    <s v="Atendente"/>
    <x v="1"/>
    <x v="66"/>
    <m/>
    <m/>
    <n v="2700"/>
    <x v="1"/>
    <n v="3"/>
    <n v="0"/>
    <n v="2"/>
    <s v="outubro"/>
    <x v="10"/>
  </r>
  <r>
    <n v="1058"/>
    <s v="Zenaide Souza"/>
    <n v="45"/>
    <s v="Qualidade"/>
    <s v="Coordenador de Qualidade"/>
    <x v="1"/>
    <x v="67"/>
    <m/>
    <m/>
    <n v="7900"/>
    <x v="0"/>
    <n v="4"/>
    <n v="2"/>
    <n v="3"/>
    <s v="março"/>
    <x v="13"/>
  </r>
  <r>
    <n v="1059"/>
    <s v="Queila Ramos"/>
    <n v="30"/>
    <s v="Atendimento"/>
    <s v="Supervisor de Atendimento"/>
    <x v="1"/>
    <x v="68"/>
    <m/>
    <m/>
    <n v="4600"/>
    <x v="1"/>
    <n v="4"/>
    <n v="2"/>
    <n v="2"/>
    <s v="fevereiro"/>
    <x v="2"/>
  </r>
  <r>
    <n v="1060"/>
    <s v="Quintino Lopes"/>
    <n v="46"/>
    <s v="Operações"/>
    <s v="Gerente de Operações"/>
    <x v="1"/>
    <x v="69"/>
    <n v="44926"/>
    <s v="Aposentadoria"/>
    <n v="13800"/>
    <x v="0"/>
    <n v="4"/>
    <n v="2"/>
    <n v="1"/>
    <s v="janeiro"/>
    <x v="4"/>
  </r>
  <r>
    <n v="1061"/>
    <s v="Pedro Azevedo"/>
    <n v="26"/>
    <s v="RH"/>
    <s v="Generalista de RH"/>
    <x v="1"/>
    <x v="70"/>
    <m/>
    <m/>
    <n v="4800"/>
    <x v="0"/>
    <n v="3"/>
    <n v="0"/>
    <n v="3"/>
    <s v="fevereiro"/>
    <x v="10"/>
  </r>
  <r>
    <n v="1062"/>
    <s v="Quésia Mendes"/>
    <n v="30"/>
    <s v="Atendimento"/>
    <s v="Analista de Atendimento"/>
    <x v="1"/>
    <x v="71"/>
    <m/>
    <m/>
    <n v="3200"/>
    <x v="2"/>
    <n v="3"/>
    <n v="0"/>
    <n v="3"/>
    <s v="março"/>
    <x v="5"/>
  </r>
  <r>
    <n v="1063"/>
    <s v="Débora Moura"/>
    <n v="33"/>
    <s v="Qualidade"/>
    <s v="Analista de Qualidade"/>
    <x v="1"/>
    <x v="72"/>
    <m/>
    <m/>
    <n v="4600"/>
    <x v="0"/>
    <n v="3"/>
    <n v="1"/>
    <n v="3"/>
    <s v="fevereiro"/>
    <x v="9"/>
  </r>
  <r>
    <n v="1064"/>
    <s v="Otília Nascimento"/>
    <n v="46"/>
    <s v="Qualidade"/>
    <s v="Gerente de Qualidade"/>
    <x v="1"/>
    <x v="73"/>
    <m/>
    <m/>
    <n v="12000"/>
    <x v="1"/>
    <n v="4"/>
    <n v="2"/>
    <n v="2"/>
    <s v="janeiro"/>
    <x v="13"/>
  </r>
  <r>
    <n v="1065"/>
    <s v="Flávia Gomes"/>
    <n v="27"/>
    <s v="Atendimento"/>
    <s v="Atendente"/>
    <x v="1"/>
    <x v="74"/>
    <m/>
    <m/>
    <n v="2700"/>
    <x v="1"/>
    <n v="3"/>
    <n v="0"/>
    <n v="2"/>
    <s v="agosto"/>
    <x v="10"/>
  </r>
  <r>
    <n v="1066"/>
    <s v="Ricardo Prado"/>
    <n v="34"/>
    <s v="TI"/>
    <s v="Analista de Infraestrutura"/>
    <x v="1"/>
    <x v="75"/>
    <m/>
    <m/>
    <n v="7700"/>
    <x v="0"/>
    <n v="4"/>
    <n v="1"/>
    <n v="4"/>
    <s v="setembro"/>
    <x v="7"/>
  </r>
  <r>
    <n v="1067"/>
    <s v="Karina Souza"/>
    <n v="36"/>
    <s v="Logística"/>
    <s v="Analista de Logística"/>
    <x v="1"/>
    <x v="76"/>
    <m/>
    <m/>
    <n v="5200"/>
    <x v="0"/>
    <n v="4"/>
    <n v="2"/>
    <n v="3"/>
    <s v="julho"/>
    <x v="7"/>
  </r>
  <r>
    <n v="1068"/>
    <s v="Bruna Carvalho"/>
    <n v="27"/>
    <s v="Marketing"/>
    <s v="Analista de Marketing"/>
    <x v="1"/>
    <x v="77"/>
    <m/>
    <m/>
    <n v="4500"/>
    <x v="2"/>
    <n v="3"/>
    <n v="0"/>
    <n v="4"/>
    <s v="junho"/>
    <x v="10"/>
  </r>
  <r>
    <n v="1069"/>
    <s v="Nádia Castro"/>
    <n v="35"/>
    <s v="Qualidade"/>
    <s v="Auditor da Qualidade"/>
    <x v="1"/>
    <x v="78"/>
    <m/>
    <m/>
    <n v="5400"/>
    <x v="0"/>
    <n v="4"/>
    <n v="0"/>
    <n v="4"/>
    <s v="outubro"/>
    <x v="7"/>
  </r>
  <r>
    <n v="1070"/>
    <s v="Ubirajara Lopes"/>
    <n v="33"/>
    <s v="Produção"/>
    <s v="Operador de Máquinas"/>
    <x v="1"/>
    <x v="79"/>
    <m/>
    <m/>
    <n v="3700"/>
    <x v="1"/>
    <n v="3"/>
    <n v="3"/>
    <n v="1"/>
    <s v="março"/>
    <x v="9"/>
  </r>
  <r>
    <n v="1071"/>
    <s v="Daniel Moreira"/>
    <n v="26"/>
    <s v="Comercial"/>
    <s v="Executivo de Vendas"/>
    <x v="1"/>
    <x v="80"/>
    <m/>
    <m/>
    <n v="4200"/>
    <x v="0"/>
    <n v="3"/>
    <n v="0"/>
    <n v="3"/>
    <s v="fevereiro"/>
    <x v="14"/>
  </r>
  <r>
    <n v="1072"/>
    <s v="Xuxa Almeida"/>
    <n v="33"/>
    <s v="Produção"/>
    <s v="Operador de Produção"/>
    <x v="1"/>
    <x v="81"/>
    <m/>
    <m/>
    <n v="3600"/>
    <x v="1"/>
    <n v="3"/>
    <n v="2"/>
    <n v="1"/>
    <s v="junho"/>
    <x v="9"/>
  </r>
  <r>
    <n v="1073"/>
    <s v="Yuri Moraes"/>
    <n v="35"/>
    <s v="Logística"/>
    <s v="Analista de Logística"/>
    <x v="1"/>
    <x v="82"/>
    <m/>
    <m/>
    <n v="5200"/>
    <x v="0"/>
    <n v="3"/>
    <n v="2"/>
    <n v="2"/>
    <s v="março"/>
    <x v="7"/>
  </r>
  <r>
    <n v="1074"/>
    <s v="Paulo Roberto"/>
    <n v="33"/>
    <s v="Logística"/>
    <s v="Analista de Logística"/>
    <x v="1"/>
    <x v="83"/>
    <m/>
    <m/>
    <n v="5200"/>
    <x v="0"/>
    <n v="3"/>
    <n v="2"/>
    <n v="2"/>
    <s v="outubro"/>
    <x v="9"/>
  </r>
  <r>
    <n v="1076"/>
    <s v="Leandro Silva"/>
    <n v="38"/>
    <s v="Operações"/>
    <s v="Analista de Logística"/>
    <x v="1"/>
    <x v="84"/>
    <m/>
    <m/>
    <n v="6100"/>
    <x v="0"/>
    <n v="3"/>
    <n v="2"/>
    <n v="2"/>
    <s v="outubro"/>
    <x v="6"/>
  </r>
  <r>
    <n v="1077"/>
    <s v="Fábio Correia"/>
    <n v="38"/>
    <s v="Produção"/>
    <s v="Supervisor de Produção"/>
    <x v="1"/>
    <x v="85"/>
    <m/>
    <m/>
    <n v="6900"/>
    <x v="1"/>
    <n v="4"/>
    <n v="4"/>
    <n v="2"/>
    <s v="agosto"/>
    <x v="15"/>
  </r>
  <r>
    <n v="1078"/>
    <s v="Karina Braga"/>
    <n v="26"/>
    <s v="Marketing"/>
    <s v="Analista de Mídias Digitais"/>
    <x v="1"/>
    <x v="86"/>
    <m/>
    <m/>
    <n v="4400"/>
    <x v="2"/>
    <n v="3"/>
    <n v="0"/>
    <n v="4"/>
    <s v="agosto"/>
    <x v="14"/>
  </r>
  <r>
    <n v="1079"/>
    <s v="Nicole Andrade"/>
    <n v="31"/>
    <s v="TI"/>
    <s v="Product Owner"/>
    <x v="1"/>
    <x v="87"/>
    <m/>
    <m/>
    <n v="10500"/>
    <x v="0"/>
    <n v="4"/>
    <n v="0"/>
    <n v="3"/>
    <s v="junho"/>
    <x v="2"/>
  </r>
  <r>
    <n v="1080"/>
    <s v="Bruna Salles"/>
    <n v="31"/>
    <s v="Marketing"/>
    <s v="Analista de Conteúdo"/>
    <x v="1"/>
    <x v="88"/>
    <m/>
    <m/>
    <n v="5200"/>
    <x v="0"/>
    <n v="3"/>
    <n v="0"/>
    <n v="4"/>
    <s v="setembro"/>
    <x v="2"/>
  </r>
  <r>
    <n v="1081"/>
    <s v="Ursula Vieira"/>
    <n v="38"/>
    <s v="Finanças"/>
    <s v="Coordenador Financeiro"/>
    <x v="1"/>
    <x v="89"/>
    <m/>
    <m/>
    <n v="9300"/>
    <x v="0"/>
    <n v="4"/>
    <n v="2"/>
    <n v="3"/>
    <s v="julho"/>
    <x v="3"/>
  </r>
  <r>
    <n v="1083"/>
    <s v="Allan Moraes"/>
    <n v="28"/>
    <s v="Marketing"/>
    <s v="Designer Gráfico"/>
    <x v="1"/>
    <x v="90"/>
    <m/>
    <m/>
    <n v="4300"/>
    <x v="0"/>
    <n v="3"/>
    <n v="0"/>
    <n v="3"/>
    <s v="janeiro"/>
    <x v="10"/>
  </r>
  <r>
    <n v="1084"/>
    <s v="Luana Queiroz"/>
    <n v="39"/>
    <s v="Produção"/>
    <s v="Coordenadora de Produção"/>
    <x v="1"/>
    <x v="91"/>
    <m/>
    <m/>
    <n v="8600"/>
    <x v="1"/>
    <n v="4"/>
    <n v="3"/>
    <n v="2"/>
    <s v="fevereiro"/>
    <x v="15"/>
  </r>
  <r>
    <n v="1085"/>
    <s v="Ana Cláudia Ribeiro"/>
    <n v="33"/>
    <s v="Finanças"/>
    <s v="Controller"/>
    <x v="1"/>
    <x v="92"/>
    <m/>
    <m/>
    <n v="9800"/>
    <x v="0"/>
    <n v="5"/>
    <n v="0"/>
    <n v="3"/>
    <s v="janeiro"/>
    <x v="7"/>
  </r>
  <r>
    <n v="1087"/>
    <s v="Daniela Lopes"/>
    <n v="29"/>
    <s v="RH"/>
    <s v="Analista de RH"/>
    <x v="1"/>
    <x v="25"/>
    <m/>
    <m/>
    <n v="5200"/>
    <x v="0"/>
    <n v="4"/>
    <n v="1"/>
    <n v="3"/>
    <s v="setembro"/>
    <x v="5"/>
  </r>
  <r>
    <n v="1088"/>
    <s v="Heitor Diniz"/>
    <n v="43"/>
    <s v="Produção"/>
    <s v="Coordenador de Produção"/>
    <x v="1"/>
    <x v="73"/>
    <m/>
    <m/>
    <n v="8500"/>
    <x v="1"/>
    <n v="4"/>
    <n v="3"/>
    <n v="2"/>
    <s v="janeiro"/>
    <x v="13"/>
  </r>
  <r>
    <n v="1089"/>
    <s v="Jonas Carvalho"/>
    <n v="29"/>
    <s v="TI"/>
    <s v="Desenvolvedor Pleno"/>
    <x v="1"/>
    <x v="93"/>
    <m/>
    <m/>
    <n v="8300"/>
    <x v="2"/>
    <n v="4"/>
    <n v="0"/>
    <n v="4"/>
    <s v="março"/>
    <x v="2"/>
  </r>
  <r>
    <n v="1090"/>
    <s v="Nikolas Cunha"/>
    <n v="27"/>
    <s v="Comercial"/>
    <s v="Executivo de Vendas"/>
    <x v="1"/>
    <x v="94"/>
    <m/>
    <m/>
    <n v="4300"/>
    <x v="0"/>
    <n v="3"/>
    <n v="0"/>
    <n v="3"/>
    <s v="novembro"/>
    <x v="10"/>
  </r>
  <r>
    <n v="1091"/>
    <s v="Yuri Andrade"/>
    <n v="33"/>
    <s v="Logística"/>
    <s v="Supervisor de Logística"/>
    <x v="1"/>
    <x v="95"/>
    <m/>
    <m/>
    <n v="6500"/>
    <x v="1"/>
    <n v="3"/>
    <n v="4"/>
    <n v="1"/>
    <s v="novembro"/>
    <x v="7"/>
  </r>
  <r>
    <n v="1092"/>
    <s v="Washington Reis"/>
    <n v="48"/>
    <s v="Finanças"/>
    <s v="Gerente Financeiro"/>
    <x v="1"/>
    <x v="96"/>
    <m/>
    <m/>
    <n v="13500"/>
    <x v="1"/>
    <n v="4"/>
    <n v="3"/>
    <n v="1"/>
    <s v="agosto"/>
    <x v="13"/>
  </r>
  <r>
    <n v="1095"/>
    <s v="Tamara Ribeiro"/>
    <n v="39"/>
    <s v="Qualidade"/>
    <s v="Coordenador de Qualidade"/>
    <x v="1"/>
    <x v="97"/>
    <m/>
    <m/>
    <n v="7800"/>
    <x v="0"/>
    <n v="4"/>
    <n v="2"/>
    <n v="3"/>
    <s v="setembro"/>
    <x v="3"/>
  </r>
  <r>
    <n v="1096"/>
    <s v="Carla Mendes"/>
    <n v="41"/>
    <s v="RH"/>
    <s v="Business Partner"/>
    <x v="1"/>
    <x v="98"/>
    <m/>
    <m/>
    <n v="8700"/>
    <x v="0"/>
    <n v="4"/>
    <n v="1"/>
    <n v="5"/>
    <s v="fevereiro"/>
    <x v="7"/>
  </r>
  <r>
    <n v="1097"/>
    <s v="Enzo Carvalho"/>
    <n v="26"/>
    <s v="Atendimento"/>
    <s v="Analista de Atendimento"/>
    <x v="1"/>
    <x v="99"/>
    <m/>
    <m/>
    <n v="3200"/>
    <x v="2"/>
    <n v="3"/>
    <n v="0"/>
    <n v="2"/>
    <s v="junho"/>
    <x v="14"/>
  </r>
  <r>
    <n v="1098"/>
    <s v="Ulisses Moreira"/>
    <n v="36"/>
    <s v="Operações"/>
    <s v="Coordenador de Frota"/>
    <x v="1"/>
    <x v="100"/>
    <m/>
    <m/>
    <n v="6500"/>
    <x v="1"/>
    <n v="3"/>
    <n v="6"/>
    <n v="0"/>
    <s v="março"/>
    <x v="9"/>
  </r>
  <r>
    <n v="1099"/>
    <s v="Sabrina Lopes"/>
    <n v="44"/>
    <s v="Comercial"/>
    <s v="Gerente Comercial"/>
    <x v="1"/>
    <x v="101"/>
    <m/>
    <m/>
    <n v="12800"/>
    <x v="0"/>
    <n v="5"/>
    <n v="2"/>
    <n v="3"/>
    <s v="maio"/>
    <x v="3"/>
  </r>
  <r>
    <n v="1100"/>
    <s v="Leandro Santos"/>
    <n v="41"/>
    <s v="Produção"/>
    <s v="Supervisor de Produção"/>
    <x v="1"/>
    <x v="102"/>
    <m/>
    <m/>
    <n v="7200"/>
    <x v="1"/>
    <n v="3"/>
    <n v="4"/>
    <n v="1"/>
    <s v="junho"/>
    <x v="13"/>
  </r>
  <r>
    <n v="1102"/>
    <s v="Giselle Xavier"/>
    <n v="30"/>
    <s v="Atendimento"/>
    <s v="Analista de Atendimento"/>
    <x v="1"/>
    <x v="103"/>
    <n v="45199"/>
    <s v="Pedido de demissão"/>
    <n v="3300"/>
    <x v="2"/>
    <n v="3"/>
    <n v="1"/>
    <n v="2"/>
    <s v="janeiro"/>
    <x v="2"/>
  </r>
  <r>
    <n v="1103"/>
    <s v="Karina Lopes"/>
    <n v="29"/>
    <s v="Marketing"/>
    <s v="Analista de Marketing"/>
    <x v="1"/>
    <x v="104"/>
    <m/>
    <m/>
    <n v="4500"/>
    <x v="0"/>
    <n v="3"/>
    <n v="0"/>
    <n v="3"/>
    <s v="março"/>
    <x v="5"/>
  </r>
  <r>
    <n v="1104"/>
    <s v="Otávio Barros"/>
    <n v="39"/>
    <s v="Produção"/>
    <s v="Supervisor de Produção"/>
    <x v="1"/>
    <x v="105"/>
    <m/>
    <m/>
    <n v="7200"/>
    <x v="1"/>
    <n v="4"/>
    <n v="5"/>
    <n v="1"/>
    <s v="setembro"/>
    <x v="15"/>
  </r>
  <r>
    <n v="1105"/>
    <s v="Diego Santos"/>
    <n v="26"/>
    <s v="Comercial"/>
    <s v="Executivo de Vendas Júnior"/>
    <x v="1"/>
    <x v="106"/>
    <m/>
    <m/>
    <n v="4100"/>
    <x v="2"/>
    <n v="3"/>
    <n v="3"/>
    <n v="2"/>
    <s v="janeiro"/>
    <x v="1"/>
  </r>
  <r>
    <n v="1106"/>
    <s v="João Pereira"/>
    <n v="52"/>
    <s v="Operações"/>
    <s v="Coordenador Logístico"/>
    <x v="1"/>
    <x v="107"/>
    <n v="45275"/>
    <s v="Aposentadoria"/>
    <n v="6800"/>
    <x v="1"/>
    <n v="4"/>
    <n v="5"/>
    <n v="0"/>
    <s v="abril"/>
    <x v="8"/>
  </r>
  <r>
    <n v="1107"/>
    <s v="Karine Costa"/>
    <n v="33"/>
    <s v="Qualidade"/>
    <s v="Inspetora de Qualidade"/>
    <x v="1"/>
    <x v="108"/>
    <m/>
    <m/>
    <n v="4100"/>
    <x v="1"/>
    <n v="3"/>
    <n v="1"/>
    <n v="3"/>
    <s v="agosto"/>
    <x v="9"/>
  </r>
  <r>
    <n v="1108"/>
    <s v="Vitória Alves"/>
    <n v="26"/>
    <s v="RH"/>
    <s v="Generalista de RH"/>
    <x v="1"/>
    <x v="109"/>
    <m/>
    <m/>
    <n v="4800"/>
    <x v="0"/>
    <n v="3"/>
    <n v="0"/>
    <n v="3"/>
    <s v="janeiro"/>
    <x v="14"/>
  </r>
  <r>
    <n v="1110"/>
    <s v="Paula Nogueira"/>
    <n v="31"/>
    <s v="Comercial"/>
    <s v="Executivo de Contas"/>
    <x v="1"/>
    <x v="110"/>
    <m/>
    <m/>
    <n v="5700"/>
    <x v="0"/>
    <n v="4"/>
    <n v="0"/>
    <n v="3"/>
    <s v="setembro"/>
    <x v="9"/>
  </r>
  <r>
    <n v="1111"/>
    <s v="Rafael Gomes"/>
    <n v="34"/>
    <s v="Produção"/>
    <s v="Operador de Produção"/>
    <x v="1"/>
    <x v="111"/>
    <m/>
    <m/>
    <n v="3400"/>
    <x v="1"/>
    <n v="3"/>
    <n v="2"/>
    <n v="1"/>
    <s v="maio"/>
    <x v="9"/>
  </r>
  <r>
    <n v="1112"/>
    <s v="Sueli Rodrigues"/>
    <n v="31"/>
    <s v="RH"/>
    <s v="Analista de RH"/>
    <x v="1"/>
    <x v="112"/>
    <m/>
    <m/>
    <n v="5200"/>
    <x v="0"/>
    <n v="3"/>
    <n v="0"/>
    <n v="3"/>
    <s v="dezembro"/>
    <x v="2"/>
  </r>
  <r>
    <n v="1113"/>
    <s v="Elisa Ribeiro"/>
    <n v="32"/>
    <s v="Marketing"/>
    <s v="Coordenadora de Marketing"/>
    <x v="1"/>
    <x v="113"/>
    <m/>
    <m/>
    <n v="7300"/>
    <x v="0"/>
    <n v="5"/>
    <n v="0"/>
    <n v="4"/>
    <s v="maio"/>
    <x v="5"/>
  </r>
  <r>
    <n v="1114"/>
    <s v="Gabriela Nunes"/>
    <n v="38"/>
    <s v="RH"/>
    <s v="Analista de Treinamento"/>
    <x v="1"/>
    <x v="114"/>
    <m/>
    <m/>
    <n v="6200"/>
    <x v="0"/>
    <n v="3"/>
    <n v="6"/>
    <n v="8"/>
    <s v="julho"/>
    <x v="9"/>
  </r>
  <r>
    <n v="1116"/>
    <s v="Sérgio Farias"/>
    <n v="28"/>
    <s v="TI"/>
    <s v="Analista de Suporte"/>
    <x v="1"/>
    <x v="70"/>
    <m/>
    <m/>
    <n v="3900"/>
    <x v="1"/>
    <n v="3"/>
    <n v="1"/>
    <n v="3"/>
    <s v="fevereiro"/>
    <x v="10"/>
  </r>
  <r>
    <n v="1117"/>
    <s v="Cássio Neves"/>
    <n v="37"/>
    <s v="Operações"/>
    <s v="Analista de Logística"/>
    <x v="1"/>
    <x v="115"/>
    <m/>
    <m/>
    <n v="6000"/>
    <x v="0"/>
    <n v="3"/>
    <n v="2"/>
    <n v="2"/>
    <s v="fevereiro"/>
    <x v="15"/>
  </r>
  <r>
    <n v="1118"/>
    <s v="Queila Nascimento"/>
    <n v="37"/>
    <s v="Operações"/>
    <s v="Coordenador Operacional"/>
    <x v="1"/>
    <x v="116"/>
    <m/>
    <m/>
    <n v="7800"/>
    <x v="1"/>
    <n v="4"/>
    <n v="4"/>
    <n v="2"/>
    <s v="março"/>
    <x v="15"/>
  </r>
  <r>
    <n v="1119"/>
    <s v="Diego Barros"/>
    <n v="26"/>
    <s v="TI"/>
    <s v="Analista de Suporte"/>
    <x v="1"/>
    <x v="117"/>
    <m/>
    <m/>
    <n v="3900"/>
    <x v="1"/>
    <n v="3"/>
    <n v="1"/>
    <n v="3"/>
    <s v="abril"/>
    <x v="14"/>
  </r>
  <r>
    <n v="1120"/>
    <s v="Queila Souza"/>
    <n v="36"/>
    <s v="Logística"/>
    <s v="Analista de Logística"/>
    <x v="1"/>
    <x v="118"/>
    <m/>
    <m/>
    <n v="5200"/>
    <x v="0"/>
    <n v="3"/>
    <n v="2"/>
    <n v="2"/>
    <s v="abril"/>
    <x v="15"/>
  </r>
  <r>
    <n v="1121"/>
    <s v="Igor Fernandes"/>
    <n v="35"/>
    <s v="Operações"/>
    <s v="Supervisor de Estoque"/>
    <x v="1"/>
    <x v="119"/>
    <m/>
    <m/>
    <n v="5600"/>
    <x v="1"/>
    <n v="3"/>
    <n v="5"/>
    <n v="1"/>
    <s v="julho"/>
    <x v="7"/>
  </r>
  <r>
    <n v="1123"/>
    <s v="Renata Campos"/>
    <n v="28"/>
    <s v="Marketing"/>
    <s v="Analista de Marketing"/>
    <x v="1"/>
    <x v="120"/>
    <m/>
    <m/>
    <n v="4500"/>
    <x v="0"/>
    <n v="3"/>
    <n v="0"/>
    <n v="3"/>
    <s v="fevereiro"/>
    <x v="10"/>
  </r>
  <r>
    <n v="1124"/>
    <s v="Tiago Moreira"/>
    <n v="45"/>
    <s v="Logística"/>
    <s v="Coordenador de Logística"/>
    <x v="1"/>
    <x v="121"/>
    <n v="45138"/>
    <s v="Desligamento sem justa causa"/>
    <n v="8800"/>
    <x v="1"/>
    <n v="3"/>
    <n v="6"/>
    <n v="1"/>
    <s v="novembro"/>
    <x v="8"/>
  </r>
  <r>
    <n v="1125"/>
    <s v="Nathalia Queiroz"/>
    <n v="26"/>
    <s v="Comercial"/>
    <s v="Assistente Comercial"/>
    <x v="1"/>
    <x v="122"/>
    <m/>
    <m/>
    <n v="3200"/>
    <x v="0"/>
    <n v="3"/>
    <n v="0"/>
    <n v="2"/>
    <s v="junho"/>
    <x v="14"/>
  </r>
  <r>
    <n v="1126"/>
    <s v="Paulo Henrique"/>
    <n v="28"/>
    <s v="Comercial"/>
    <s v="Vendedor Externo"/>
    <x v="1"/>
    <x v="123"/>
    <n v="45519"/>
    <s v="Pedido de demissão"/>
    <n v="4300"/>
    <x v="2"/>
    <n v="3"/>
    <n v="1"/>
    <n v="1"/>
    <s v="novembro"/>
    <x v="10"/>
  </r>
  <r>
    <n v="1128"/>
    <s v="Caio Andrade"/>
    <n v="35"/>
    <s v="Finanças"/>
    <s v="Analista Financeiro Pleno"/>
    <x v="1"/>
    <x v="124"/>
    <m/>
    <m/>
    <n v="6200"/>
    <x v="1"/>
    <n v="4"/>
    <n v="2"/>
    <n v="2"/>
    <s v="fevereiro"/>
    <x v="9"/>
  </r>
  <r>
    <n v="1129"/>
    <s v="Daniel Teles"/>
    <n v="31"/>
    <s v="Finanças"/>
    <s v="Analista Financeiro Jr"/>
    <x v="1"/>
    <x v="125"/>
    <m/>
    <m/>
    <n v="4900"/>
    <x v="1"/>
    <n v="3"/>
    <n v="1"/>
    <n v="3"/>
    <s v="maio"/>
    <x v="2"/>
  </r>
  <r>
    <n v="1130"/>
    <s v="Bruno Lima"/>
    <n v="35"/>
    <s v="TI"/>
    <s v="Desenvolvedor Sênior"/>
    <x v="1"/>
    <x v="126"/>
    <m/>
    <m/>
    <n v="9800"/>
    <x v="0"/>
    <n v="5"/>
    <n v="0"/>
    <n v="4"/>
    <s v="agosto"/>
    <x v="2"/>
  </r>
  <r>
    <n v="1131"/>
    <s v="Débora Fernandes"/>
    <n v="26"/>
    <s v="RH"/>
    <s v="Analista de RH"/>
    <x v="1"/>
    <x v="127"/>
    <m/>
    <m/>
    <n v="5100"/>
    <x v="0"/>
    <n v="3"/>
    <n v="0"/>
    <n v="3"/>
    <s v="maio"/>
    <x v="14"/>
  </r>
  <r>
    <n v="1133"/>
    <s v="Paulo Mendes"/>
    <n v="29"/>
    <s v="Comercial"/>
    <s v="Executivo de Vendas"/>
    <x v="1"/>
    <x v="128"/>
    <m/>
    <m/>
    <n v="4300"/>
    <x v="0"/>
    <n v="3"/>
    <n v="0"/>
    <n v="3"/>
    <s v="setembro"/>
    <x v="5"/>
  </r>
  <r>
    <n v="1134"/>
    <s v="Marcos Vieira"/>
    <n v="33"/>
    <s v="Jurídico"/>
    <s v="Advogado Pleno"/>
    <x v="1"/>
    <x v="129"/>
    <m/>
    <m/>
    <n v="9300"/>
    <x v="0"/>
    <n v="4"/>
    <n v="0"/>
    <n v="2"/>
    <s v="fevereiro"/>
    <x v="5"/>
  </r>
  <r>
    <n v="1135"/>
    <s v="Guilherme Assis"/>
    <n v="27"/>
    <s v="Logística"/>
    <s v="Assistente de Logística"/>
    <x v="1"/>
    <x v="130"/>
    <m/>
    <m/>
    <n v="3400"/>
    <x v="1"/>
    <n v="3"/>
    <n v="0"/>
    <n v="2"/>
    <s v="novembro"/>
    <x v="10"/>
  </r>
  <r>
    <n v="1136"/>
    <s v="Helena Souza"/>
    <n v="36"/>
    <s v="RH"/>
    <s v="Business Partner"/>
    <x v="1"/>
    <x v="131"/>
    <m/>
    <m/>
    <n v="8700"/>
    <x v="0"/>
    <n v="4"/>
    <n v="1"/>
    <n v="4"/>
    <s v="junho"/>
    <x v="15"/>
  </r>
  <r>
    <n v="1138"/>
    <s v="Patrícia Nunes"/>
    <n v="34"/>
    <s v="RH"/>
    <s v="Analista de Remuneração"/>
    <x v="1"/>
    <x v="132"/>
    <m/>
    <m/>
    <n v="6400"/>
    <x v="0"/>
    <n v="4"/>
    <n v="0"/>
    <n v="3"/>
    <s v="agosto"/>
    <x v="7"/>
  </r>
  <r>
    <n v="1139"/>
    <s v="Isabela Rocha"/>
    <n v="30"/>
    <s v="Comercial"/>
    <s v="Executiva de Vendas Pleno"/>
    <x v="1"/>
    <x v="128"/>
    <n v="45473"/>
    <s v="Pedido de demissão"/>
    <n v="5600"/>
    <x v="2"/>
    <n v="3"/>
    <n v="0"/>
    <n v="1"/>
    <s v="setembro"/>
    <x v="5"/>
  </r>
  <r>
    <n v="1141"/>
    <s v="Caio Nascimento"/>
    <n v="36"/>
    <s v="Operações"/>
    <s v="Coordenador Operacional"/>
    <x v="1"/>
    <x v="133"/>
    <m/>
    <m/>
    <n v="7900"/>
    <x v="1"/>
    <n v="3"/>
    <n v="4"/>
    <n v="2"/>
    <s v="agosto"/>
    <x v="15"/>
  </r>
  <r>
    <n v="1142"/>
    <s v="Ian Carvalho"/>
    <n v="32"/>
    <s v="Produção"/>
    <s v="Operador de Produção"/>
    <x v="1"/>
    <x v="134"/>
    <m/>
    <m/>
    <n v="3600"/>
    <x v="1"/>
    <n v="3"/>
    <n v="2"/>
    <n v="1"/>
    <s v="julho"/>
    <x v="9"/>
  </r>
  <r>
    <n v="1143"/>
    <s v="Enrico Barbosa"/>
    <n v="34"/>
    <s v="Finanças"/>
    <s v="Analista Financeiro Pleno"/>
    <x v="1"/>
    <x v="135"/>
    <m/>
    <m/>
    <n v="6100"/>
    <x v="1"/>
    <n v="4"/>
    <n v="1"/>
    <n v="3"/>
    <s v="abril"/>
    <x v="9"/>
  </r>
  <r>
    <n v="1145"/>
    <s v="Eduardo Monteiro"/>
    <n v="44"/>
    <s v="Produção"/>
    <s v="Coordenador de Produção"/>
    <x v="1"/>
    <x v="136"/>
    <m/>
    <m/>
    <n v="8600"/>
    <x v="1"/>
    <n v="4"/>
    <n v="5"/>
    <n v="1"/>
    <s v="março"/>
    <x v="8"/>
  </r>
  <r>
    <n v="1146"/>
    <s v="Alberto Meireles"/>
    <n v="35"/>
    <s v="Finanças"/>
    <s v="Analista Financeiro Pleno"/>
    <x v="1"/>
    <x v="137"/>
    <m/>
    <m/>
    <n v="6100"/>
    <x v="1"/>
    <n v="4"/>
    <n v="1"/>
    <n v="3"/>
    <s v="março"/>
    <x v="7"/>
  </r>
  <r>
    <n v="1147"/>
    <s v="Beatriz Azevedo"/>
    <n v="33"/>
    <s v="Qualidade"/>
    <s v="Inspetora de Qualidade"/>
    <x v="1"/>
    <x v="138"/>
    <m/>
    <m/>
    <n v="4100"/>
    <x v="1"/>
    <n v="3"/>
    <n v="3"/>
    <n v="2"/>
    <s v="abril"/>
    <x v="2"/>
  </r>
  <r>
    <n v="1148"/>
    <s v="Otávio Maciel"/>
    <n v="39"/>
    <s v="Finanças"/>
    <s v="Gerente Financeiro"/>
    <x v="1"/>
    <x v="139"/>
    <m/>
    <m/>
    <n v="13200"/>
    <x v="1"/>
    <n v="4"/>
    <n v="2"/>
    <n v="2"/>
    <s v="fevereiro"/>
    <x v="3"/>
  </r>
  <r>
    <n v="1149"/>
    <s v="Olga Figueiredo"/>
    <n v="42"/>
    <s v="Finanças"/>
    <s v="Controller"/>
    <x v="1"/>
    <x v="140"/>
    <m/>
    <m/>
    <n v="10100"/>
    <x v="0"/>
    <n v="4"/>
    <n v="2"/>
    <n v="3"/>
    <s v="junho"/>
    <x v="3"/>
  </r>
  <r>
    <n v="1150"/>
    <s v="Inês Cabral"/>
    <n v="33"/>
    <s v="Qualidade"/>
    <s v="Analista de Qualidade"/>
    <x v="1"/>
    <x v="141"/>
    <m/>
    <m/>
    <n v="4600"/>
    <x v="0"/>
    <n v="3"/>
    <n v="1"/>
    <n v="3"/>
    <s v="setembro"/>
    <x v="9"/>
  </r>
  <r>
    <n v="1151"/>
    <s v="Raquel Barreto"/>
    <n v="34"/>
    <s v="Marketing"/>
    <s v="Analista de Conteúdo"/>
    <x v="1"/>
    <x v="142"/>
    <m/>
    <m/>
    <n v="5200"/>
    <x v="0"/>
    <n v="3"/>
    <n v="0"/>
    <n v="4"/>
    <s v="maio"/>
    <x v="7"/>
  </r>
  <r>
    <n v="1152"/>
    <s v="Camila Torres"/>
    <n v="38"/>
    <s v="Marketing"/>
    <s v="Analista de Conteúdo"/>
    <x v="1"/>
    <x v="143"/>
    <m/>
    <m/>
    <n v="5200"/>
    <x v="0"/>
    <n v="4"/>
    <n v="2"/>
    <n v="4"/>
    <s v="outubro"/>
    <x v="15"/>
  </r>
  <r>
    <n v="1155"/>
    <s v="Elaine Rodrigues"/>
    <n v="42"/>
    <s v="RH"/>
    <s v="Coordenador de RH"/>
    <x v="1"/>
    <x v="144"/>
    <m/>
    <m/>
    <n v="9100"/>
    <x v="0"/>
    <n v="4"/>
    <n v="1"/>
    <n v="3"/>
    <s v="abril"/>
    <x v="3"/>
  </r>
  <r>
    <n v="1156"/>
    <s v="Taís Moreira"/>
    <n v="27"/>
    <s v="RH"/>
    <s v="Generalista de RH"/>
    <x v="1"/>
    <x v="145"/>
    <m/>
    <m/>
    <n v="4800"/>
    <x v="0"/>
    <n v="3"/>
    <n v="0"/>
    <n v="3"/>
    <s v="março"/>
    <x v="14"/>
  </r>
  <r>
    <n v="1158"/>
    <s v="Samuel Oliveira"/>
    <n v="32"/>
    <s v="TI"/>
    <s v="Analista de Sistemas"/>
    <x v="1"/>
    <x v="146"/>
    <m/>
    <m/>
    <n v="6900"/>
    <x v="0"/>
    <n v="4"/>
    <n v="0"/>
    <n v="3"/>
    <s v="dezembro"/>
    <x v="9"/>
  </r>
  <r>
    <n v="1159"/>
    <s v="Fernanda Pires"/>
    <n v="31"/>
    <s v="Qualidade"/>
    <s v="Auditor da Qualidade"/>
    <x v="1"/>
    <x v="147"/>
    <m/>
    <m/>
    <n v="5400"/>
    <x v="0"/>
    <n v="4"/>
    <n v="0"/>
    <n v="5"/>
    <s v="setembro"/>
    <x v="9"/>
  </r>
  <r>
    <n v="1161"/>
    <s v="Caio Montenegro"/>
    <n v="41"/>
    <s v="Operações"/>
    <s v="Gerente de Centro de Distribuição"/>
    <x v="1"/>
    <x v="148"/>
    <n v="45199"/>
    <s v="Desligamento sem justa causa"/>
    <n v="14200"/>
    <x v="1"/>
    <n v="2"/>
    <n v="10"/>
    <n v="0"/>
    <s v="setembro"/>
    <x v="8"/>
  </r>
  <r>
    <n v="1162"/>
    <s v="Naiara Souza"/>
    <n v="27"/>
    <s v="Atendimento"/>
    <s v="Atendente"/>
    <x v="1"/>
    <x v="149"/>
    <m/>
    <m/>
    <n v="2700"/>
    <x v="1"/>
    <n v="3"/>
    <n v="0"/>
    <n v="2"/>
    <s v="abril"/>
    <x v="10"/>
  </r>
  <r>
    <n v="1163"/>
    <s v="Gustavo Diniz"/>
    <n v="39"/>
    <s v="Logística"/>
    <s v="Coordenador de Logística"/>
    <x v="1"/>
    <x v="150"/>
    <m/>
    <m/>
    <n v="8400"/>
    <x v="1"/>
    <n v="4"/>
    <n v="3"/>
    <n v="1"/>
    <s v="janeiro"/>
    <x v="6"/>
  </r>
  <r>
    <n v="1164"/>
    <s v="Leonardo Braga"/>
    <n v="37"/>
    <s v="RH"/>
    <s v="Gerente de RH"/>
    <x v="1"/>
    <x v="151"/>
    <n v="45352"/>
    <s v="Desligamento sem justa causa"/>
    <n v="10200"/>
    <x v="0"/>
    <n v="2"/>
    <n v="7"/>
    <n v="1"/>
    <s v="outubro"/>
    <x v="15"/>
  </r>
  <r>
    <n v="1165"/>
    <s v="Gabriel Nogueira"/>
    <n v="25"/>
    <s v="Comercial"/>
    <s v="Executivo de Vendas"/>
    <x v="1"/>
    <x v="152"/>
    <m/>
    <m/>
    <n v="4300"/>
    <x v="0"/>
    <n v="3"/>
    <n v="1"/>
    <n v="3"/>
    <s v="março"/>
    <x v="14"/>
  </r>
  <r>
    <n v="1166"/>
    <s v="Eduardo Teles"/>
    <n v="38"/>
    <s v="TI"/>
    <s v="Arquiteto de Software"/>
    <x v="1"/>
    <x v="153"/>
    <m/>
    <m/>
    <n v="15000"/>
    <x v="2"/>
    <n v="5"/>
    <n v="0"/>
    <n v="2"/>
    <s v="novembro"/>
    <x v="15"/>
  </r>
  <r>
    <n v="1167"/>
    <s v="Eduarda Maciel"/>
    <n v="27"/>
    <s v="Comercial"/>
    <s v="Executivo de Contas"/>
    <x v="1"/>
    <x v="154"/>
    <m/>
    <m/>
    <n v="5600"/>
    <x v="0"/>
    <n v="4"/>
    <n v="0"/>
    <n v="3"/>
    <s v="outubro"/>
    <x v="10"/>
  </r>
  <r>
    <n v="1168"/>
    <s v="Zélia Pires"/>
    <n v="42"/>
    <s v="Jurídico"/>
    <s v="Coordenadora Jurídica"/>
    <x v="1"/>
    <x v="155"/>
    <m/>
    <m/>
    <n v="11800"/>
    <x v="0"/>
    <n v="4"/>
    <n v="2"/>
    <n v="2"/>
    <s v="junho"/>
    <x v="6"/>
  </r>
  <r>
    <n v="1169"/>
    <s v="Mila Santos"/>
    <n v="31"/>
    <s v="RH"/>
    <s v="Analista de Recrutamento e Seleção"/>
    <x v="1"/>
    <x v="156"/>
    <m/>
    <m/>
    <n v="5100"/>
    <x v="0"/>
    <n v="4"/>
    <n v="0"/>
    <n v="3"/>
    <s v="julho"/>
    <x v="2"/>
  </r>
  <r>
    <n v="1170"/>
    <s v="William Rocha"/>
    <n v="31"/>
    <s v="Finanças"/>
    <s v="Analista Financeiro Pleno"/>
    <x v="1"/>
    <x v="157"/>
    <m/>
    <m/>
    <n v="6100"/>
    <x v="0"/>
    <n v="4"/>
    <n v="0"/>
    <n v="3"/>
    <s v="junho"/>
    <x v="9"/>
  </r>
  <r>
    <n v="1171"/>
    <s v="Natalia Prado"/>
    <n v="28"/>
    <s v="Finanças"/>
    <s v="Assistente Contábil"/>
    <x v="1"/>
    <x v="158"/>
    <m/>
    <m/>
    <n v="3800"/>
    <x v="1"/>
    <n v="3"/>
    <n v="1"/>
    <n v="3"/>
    <s v="junho"/>
    <x v="14"/>
  </r>
  <r>
    <n v="1172"/>
    <s v="Otávio Reis"/>
    <n v="39"/>
    <s v="Logística"/>
    <s v="Supervisor de Logística"/>
    <x v="1"/>
    <x v="159"/>
    <m/>
    <m/>
    <n v="6400"/>
    <x v="1"/>
    <n v="4"/>
    <n v="3"/>
    <n v="1"/>
    <s v="setembro"/>
    <x v="3"/>
  </r>
  <r>
    <n v="1175"/>
    <s v="Breno Marques"/>
    <n v="29"/>
    <s v="TI"/>
    <s v="Desenvolvedor Pleno"/>
    <x v="1"/>
    <x v="160"/>
    <m/>
    <m/>
    <n v="8300"/>
    <x v="2"/>
    <n v="4"/>
    <n v="0"/>
    <n v="4"/>
    <s v="julho"/>
    <x v="5"/>
  </r>
  <r>
    <n v="1176"/>
    <s v="Zuleide Macena"/>
    <n v="47"/>
    <s v="RH"/>
    <s v="Business Partner"/>
    <x v="1"/>
    <x v="161"/>
    <m/>
    <m/>
    <n v="9000"/>
    <x v="0"/>
    <n v="4"/>
    <n v="2"/>
    <n v="3"/>
    <s v="outubro"/>
    <x v="4"/>
  </r>
  <r>
    <n v="1177"/>
    <s v="Zeca Moura"/>
    <n v="50"/>
    <s v="Operações"/>
    <s v="Gerente de Operações"/>
    <x v="1"/>
    <x v="162"/>
    <m/>
    <m/>
    <n v="13500"/>
    <x v="0"/>
    <n v="4"/>
    <n v="3"/>
    <n v="1"/>
    <s v="maio"/>
    <x v="12"/>
  </r>
  <r>
    <n v="1178"/>
    <s v="André Carvalho"/>
    <n v="30"/>
    <s v="Produção"/>
    <s v="Operador de Máquinas"/>
    <x v="1"/>
    <x v="40"/>
    <m/>
    <m/>
    <n v="3200"/>
    <x v="1"/>
    <n v="3"/>
    <n v="4"/>
    <n v="1"/>
    <s v="janeiro"/>
    <x v="5"/>
  </r>
  <r>
    <n v="1179"/>
    <s v="Murilo Cunha"/>
    <n v="36"/>
    <s v="Operações"/>
    <s v="Analista de Logística"/>
    <x v="1"/>
    <x v="163"/>
    <m/>
    <m/>
    <n v="6100"/>
    <x v="0"/>
    <n v="3"/>
    <n v="2"/>
    <n v="2"/>
    <s v="janeiro"/>
    <x v="15"/>
  </r>
  <r>
    <n v="1180"/>
    <s v="Ulisses Barros"/>
    <n v="37"/>
    <s v="Produção"/>
    <s v="Operador de Máquinas"/>
    <x v="1"/>
    <x v="164"/>
    <m/>
    <m/>
    <n v="3700"/>
    <x v="1"/>
    <n v="3"/>
    <n v="3"/>
    <n v="1"/>
    <s v="novembro"/>
    <x v="15"/>
  </r>
  <r>
    <n v="1181"/>
    <s v="Xavier Gomes"/>
    <n v="34"/>
    <s v="TI"/>
    <s v="Scrum Master"/>
    <x v="1"/>
    <x v="165"/>
    <m/>
    <m/>
    <n v="9800"/>
    <x v="0"/>
    <n v="5"/>
    <n v="0"/>
    <n v="2"/>
    <s v="outubro"/>
    <x v="5"/>
  </r>
  <r>
    <n v="1182"/>
    <s v="Maria Eduarda Lima"/>
    <n v="32"/>
    <s v="Finanças"/>
    <s v="Analista de Tesouraria"/>
    <x v="1"/>
    <x v="166"/>
    <m/>
    <m/>
    <n v="5600"/>
    <x v="1"/>
    <n v="3"/>
    <n v="1"/>
    <n v="2"/>
    <s v="dezembro"/>
    <x v="9"/>
  </r>
  <r>
    <n v="1183"/>
    <s v="Vinícius Tavares"/>
    <n v="29"/>
    <s v="Atendimento"/>
    <s v="Analista de Atendimento"/>
    <x v="1"/>
    <x v="167"/>
    <m/>
    <m/>
    <n v="3200"/>
    <x v="2"/>
    <n v="3"/>
    <n v="0"/>
    <n v="2"/>
    <s v="novembro"/>
    <x v="5"/>
  </r>
  <r>
    <n v="1184"/>
    <s v="Adriano Teixeira"/>
    <n v="28"/>
    <s v="TI"/>
    <s v="Analista de Suporte"/>
    <x v="1"/>
    <x v="168"/>
    <m/>
    <m/>
    <n v="3900"/>
    <x v="1"/>
    <n v="3"/>
    <n v="1"/>
    <n v="3"/>
    <s v="junho"/>
    <x v="10"/>
  </r>
  <r>
    <n v="1185"/>
    <s v="Nicolas Rocha"/>
    <n v="30"/>
    <s v="Comercial"/>
    <s v="Vendedor Externo"/>
    <x v="1"/>
    <x v="169"/>
    <m/>
    <m/>
    <n v="4100"/>
    <x v="2"/>
    <n v="3"/>
    <n v="3"/>
    <n v="1"/>
    <s v="setembro"/>
    <x v="2"/>
  </r>
  <r>
    <n v="1186"/>
    <s v="Marcelo Queiroz"/>
    <n v="44"/>
    <s v="Logística"/>
    <s v="Coordenador de Logística"/>
    <x v="1"/>
    <x v="96"/>
    <m/>
    <m/>
    <n v="8400"/>
    <x v="1"/>
    <n v="4"/>
    <n v="3"/>
    <n v="1"/>
    <s v="agosto"/>
    <x v="13"/>
  </r>
  <r>
    <n v="1187"/>
    <s v="Patrícia Silveira"/>
    <n v="28"/>
    <s v="Marketing"/>
    <s v="Analista de Marketing"/>
    <x v="1"/>
    <x v="170"/>
    <m/>
    <m/>
    <n v="4500"/>
    <x v="0"/>
    <n v="3"/>
    <n v="0"/>
    <n v="3"/>
    <s v="maio"/>
    <x v="10"/>
  </r>
  <r>
    <n v="1188"/>
    <s v="Wellington Dias"/>
    <n v="38"/>
    <s v="Operações"/>
    <s v="Coordenador Operacional"/>
    <x v="1"/>
    <x v="171"/>
    <n v="44985"/>
    <s v="Desligamento sem justa causa"/>
    <n v="8000"/>
    <x v="1"/>
    <n v="3"/>
    <n v="5"/>
    <n v="2"/>
    <s v="julho"/>
    <x v="6"/>
  </r>
  <r>
    <n v="1189"/>
    <s v="Wagner Silva"/>
    <n v="42"/>
    <s v="Logística"/>
    <s v="Gerente de Logística"/>
    <x v="1"/>
    <x v="172"/>
    <m/>
    <m/>
    <n v="13600"/>
    <x v="1"/>
    <n v="4"/>
    <n v="3"/>
    <n v="1"/>
    <s v="abril"/>
    <x v="8"/>
  </r>
  <r>
    <n v="1190"/>
    <s v="Marcela Lima"/>
    <n v="29"/>
    <s v="RH"/>
    <s v="Analista de Recrutamento e Seleção"/>
    <x v="1"/>
    <x v="173"/>
    <m/>
    <m/>
    <n v="5100"/>
    <x v="0"/>
    <n v="4"/>
    <n v="0"/>
    <n v="4"/>
    <s v="outubro"/>
    <x v="5"/>
  </r>
  <r>
    <n v="1191"/>
    <s v="Adriana Cunha"/>
    <n v="32"/>
    <s v="Produção"/>
    <s v="Operador de Produção"/>
    <x v="1"/>
    <x v="34"/>
    <m/>
    <m/>
    <n v="3600"/>
    <x v="1"/>
    <n v="3"/>
    <n v="1"/>
    <n v="1"/>
    <s v="janeiro"/>
    <x v="9"/>
  </r>
  <r>
    <n v="1192"/>
    <s v="Vinícius Freitas"/>
    <n v="27"/>
    <s v="Atendimento"/>
    <s v="Analista de Atendimento"/>
    <x v="1"/>
    <x v="174"/>
    <m/>
    <m/>
    <n v="3100"/>
    <x v="2"/>
    <n v="3"/>
    <n v="0"/>
    <n v="3"/>
    <s v="julho"/>
    <x v="10"/>
  </r>
  <r>
    <n v="1193"/>
    <s v="Wesley Campos"/>
    <n v="31"/>
    <s v="TI"/>
    <s v="Analista de Infraestrutura"/>
    <x v="1"/>
    <x v="88"/>
    <m/>
    <m/>
    <n v="7600"/>
    <x v="0"/>
    <n v="4"/>
    <n v="1"/>
    <n v="4"/>
    <s v="setembro"/>
    <x v="2"/>
  </r>
  <r>
    <n v="1194"/>
    <s v="Larissa Melo"/>
    <n v="28"/>
    <s v="Marketing"/>
    <s v="Designer Gráfico"/>
    <x v="1"/>
    <x v="26"/>
    <m/>
    <m/>
    <n v="4300"/>
    <x v="0"/>
    <n v="3"/>
    <n v="0"/>
    <n v="4"/>
    <s v="fevereiro"/>
    <x v="5"/>
  </r>
  <r>
    <n v="1195"/>
    <s v="Helena Cardoso"/>
    <n v="27"/>
    <s v="Finanças"/>
    <s v="Analista de Tesouraria"/>
    <x v="1"/>
    <x v="175"/>
    <m/>
    <m/>
    <n v="5100"/>
    <x v="1"/>
    <n v="3"/>
    <n v="0"/>
    <n v="3"/>
    <s v="setembro"/>
    <x v="14"/>
  </r>
  <r>
    <n v="1196"/>
    <s v="Bruno César"/>
    <n v="29"/>
    <s v="Comercial"/>
    <s v="Executivo de Contas"/>
    <x v="1"/>
    <x v="176"/>
    <m/>
    <m/>
    <n v="5600"/>
    <x v="2"/>
    <n v="4"/>
    <n v="0"/>
    <n v="4"/>
    <s v="agosto"/>
    <x v="5"/>
  </r>
  <r>
    <n v="1197"/>
    <s v="Leonardo Teixeira"/>
    <n v="28"/>
    <s v="TI"/>
    <s v="Desenvolvedor Pleno"/>
    <x v="1"/>
    <x v="165"/>
    <m/>
    <m/>
    <n v="8400"/>
    <x v="2"/>
    <n v="4"/>
    <n v="0"/>
    <n v="4"/>
    <s v="outubro"/>
    <x v="5"/>
  </r>
  <r>
    <n v="1198"/>
    <s v="Yuri Carvalho"/>
    <n v="29"/>
    <s v="TI"/>
    <s v="Desenvolvedor Pleno"/>
    <x v="1"/>
    <x v="177"/>
    <m/>
    <m/>
    <n v="8200"/>
    <x v="2"/>
    <n v="4"/>
    <n v="0"/>
    <n v="4"/>
    <s v="junho"/>
    <x v="2"/>
  </r>
  <r>
    <n v="1200"/>
    <s v="Joana Batista"/>
    <n v="29"/>
    <s v="Atendimento"/>
    <s v="Supervisor de Atendimento"/>
    <x v="1"/>
    <x v="178"/>
    <m/>
    <m/>
    <n v="4600"/>
    <x v="1"/>
    <n v="4"/>
    <n v="2"/>
    <n v="3"/>
    <s v="abril"/>
    <x v="2"/>
  </r>
  <r>
    <n v="1201"/>
    <s v="Ingrid Pacheco"/>
    <n v="25"/>
    <s v="Marketing"/>
    <s v="Analista de Mídias Digitais"/>
    <x v="1"/>
    <x v="175"/>
    <m/>
    <m/>
    <n v="4400"/>
    <x v="2"/>
    <n v="3"/>
    <n v="0"/>
    <n v="4"/>
    <s v="setembro"/>
    <x v="14"/>
  </r>
  <r>
    <n v="1075"/>
    <s v="Renato Castro"/>
    <n v="28"/>
    <s v="Atendimento"/>
    <s v="Analista de Atendimento"/>
    <x v="2"/>
    <x v="14"/>
    <m/>
    <m/>
    <n v="2200"/>
    <x v="1"/>
    <n v="5"/>
    <n v="0"/>
    <n v="4"/>
    <s v="fevereiro"/>
    <x v="0"/>
  </r>
  <r>
    <n v="1094"/>
    <s v="Daniel Tavares"/>
    <n v="30"/>
    <s v="TI"/>
    <s v="Analista de Dados"/>
    <x v="2"/>
    <x v="179"/>
    <m/>
    <m/>
    <n v="2200"/>
    <x v="1"/>
    <n v="5"/>
    <n v="0"/>
    <n v="2"/>
    <s v="fevereiro"/>
    <x v="0"/>
  </r>
  <r>
    <n v="1154"/>
    <s v="Beatriz Gonçalves"/>
    <n v="20"/>
    <s v="Marketing"/>
    <s v="Analista de Comunicação"/>
    <x v="2"/>
    <x v="180"/>
    <m/>
    <m/>
    <n v="2200"/>
    <x v="1"/>
    <n v="5"/>
    <n v="1"/>
    <n v="3"/>
    <s v="fevereiro"/>
    <x v="0"/>
  </r>
  <r>
    <n v="1160"/>
    <s v="Luiz Rodrigues"/>
    <n v="21"/>
    <s v="TI"/>
    <s v="Analista de Suporte"/>
    <x v="2"/>
    <x v="181"/>
    <m/>
    <m/>
    <n v="2200"/>
    <x v="1"/>
    <n v="5"/>
    <n v="1"/>
    <n v="2"/>
    <s v="fevereiro"/>
    <x v="0"/>
  </r>
  <r>
    <n v="9999"/>
    <s v="Abu Bokkor"/>
    <n v="32"/>
    <s v="TI"/>
    <s v="Analista de Dados"/>
    <x v="2"/>
    <x v="182"/>
    <m/>
    <m/>
    <n v="2200"/>
    <x v="3"/>
    <n v="5"/>
    <n v="0"/>
    <n v="10"/>
    <s v="fevereiro"/>
    <x v="16"/>
  </r>
  <r>
    <n v="1109"/>
    <s v="Sueli Borges"/>
    <n v="35"/>
    <s v="TI"/>
    <s v="Desenvolvedor Sênior"/>
    <x v="3"/>
    <x v="183"/>
    <m/>
    <m/>
    <n v="13500"/>
    <x v="2"/>
    <n v="5"/>
    <n v="0"/>
    <n v="5"/>
    <s v="julho"/>
    <x v="9"/>
  </r>
  <r>
    <n v="1137"/>
    <s v="Leticia Batista"/>
    <n v="33"/>
    <s v="TI"/>
    <s v="Cientista de Dados"/>
    <x v="3"/>
    <x v="125"/>
    <m/>
    <m/>
    <n v="15000"/>
    <x v="2"/>
    <n v="5"/>
    <n v="0"/>
    <n v="5"/>
    <s v="maio"/>
    <x v="2"/>
  </r>
  <r>
    <n v="1157"/>
    <s v="Ygor Vieira"/>
    <n v="31"/>
    <s v="TI"/>
    <s v="Desenvolvedor Sênior"/>
    <x v="3"/>
    <x v="43"/>
    <m/>
    <m/>
    <n v="14500"/>
    <x v="2"/>
    <n v="5"/>
    <n v="0"/>
    <n v="5"/>
    <s v="fevereiro"/>
    <x v="2"/>
  </r>
  <r>
    <n v="1173"/>
    <s v="Marcos Aurélio"/>
    <n v="31"/>
    <s v="TI"/>
    <s v="Desenvolvedor Sênior"/>
    <x v="3"/>
    <x v="103"/>
    <m/>
    <m/>
    <n v="14500"/>
    <x v="2"/>
    <n v="5"/>
    <n v="0"/>
    <n v="5"/>
    <s v="janeiro"/>
    <x v="2"/>
  </r>
  <r>
    <n v="1174"/>
    <s v="Paulo Oliveira"/>
    <n v="27"/>
    <s v="TI"/>
    <s v="Analista de Dados"/>
    <x v="3"/>
    <x v="90"/>
    <m/>
    <m/>
    <n v="11000"/>
    <x v="2"/>
    <n v="4"/>
    <n v="0"/>
    <n v="5"/>
    <s v="janeiro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35320-7A9D-41D5-B2E6-A8D949C1FF27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3:H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numFmtId="14" showAll="0">
      <items count="185">
        <item x="39"/>
        <item x="59"/>
        <item x="162"/>
        <item x="41"/>
        <item x="69"/>
        <item x="20"/>
        <item x="161"/>
        <item x="50"/>
        <item x="52"/>
        <item x="62"/>
        <item x="136"/>
        <item x="172"/>
        <item x="107"/>
        <item x="33"/>
        <item x="148"/>
        <item x="121"/>
        <item x="73"/>
        <item x="67"/>
        <item x="48"/>
        <item x="45"/>
        <item x="102"/>
        <item x="96"/>
        <item x="32"/>
        <item x="139"/>
        <item x="31"/>
        <item x="19"/>
        <item x="144"/>
        <item x="37"/>
        <item x="101"/>
        <item x="140"/>
        <item x="27"/>
        <item x="89"/>
        <item x="159"/>
        <item x="97"/>
        <item x="44"/>
        <item x="38"/>
        <item x="150"/>
        <item x="58"/>
        <item x="22"/>
        <item x="28"/>
        <item x="155"/>
        <item x="171"/>
        <item x="46"/>
        <item x="84"/>
        <item x="30"/>
        <item x="24"/>
        <item x="163"/>
        <item x="115"/>
        <item x="91"/>
        <item x="116"/>
        <item x="118"/>
        <item x="131"/>
        <item x="65"/>
        <item x="85"/>
        <item x="133"/>
        <item x="105"/>
        <item x="151"/>
        <item x="143"/>
        <item x="153"/>
        <item x="164"/>
        <item x="92"/>
        <item x="98"/>
        <item x="82"/>
        <item x="137"/>
        <item x="142"/>
        <item x="23"/>
        <item x="76"/>
        <item x="119"/>
        <item x="132"/>
        <item x="75"/>
        <item x="53"/>
        <item x="29"/>
        <item x="78"/>
        <item x="95"/>
        <item x="63"/>
        <item x="34"/>
        <item x="124"/>
        <item x="72"/>
        <item x="100"/>
        <item x="79"/>
        <item x="135"/>
        <item x="111"/>
        <item x="157"/>
        <item x="81"/>
        <item x="114"/>
        <item x="134"/>
        <item x="183"/>
        <item x="108"/>
        <item x="110"/>
        <item x="141"/>
        <item x="147"/>
        <item x="83"/>
        <item x="49"/>
        <item x="47"/>
        <item x="146"/>
        <item x="166"/>
        <item x="56"/>
        <item x="103"/>
        <item x="43"/>
        <item x="68"/>
        <item x="51"/>
        <item x="93"/>
        <item x="138"/>
        <item x="178"/>
        <item x="125"/>
        <item x="87"/>
        <item x="177"/>
        <item x="156"/>
        <item x="126"/>
        <item x="88"/>
        <item x="169"/>
        <item x="18"/>
        <item x="36"/>
        <item x="112"/>
        <item x="40"/>
        <item x="55"/>
        <item x="26"/>
        <item x="129"/>
        <item x="104"/>
        <item x="71"/>
        <item x="113"/>
        <item x="21"/>
        <item x="160"/>
        <item x="176"/>
        <item x="128"/>
        <item x="25"/>
        <item x="165"/>
        <item x="173"/>
        <item x="167"/>
        <item x="90"/>
        <item x="70"/>
        <item x="120"/>
        <item x="35"/>
        <item x="42"/>
        <item x="149"/>
        <item x="61"/>
        <item x="170"/>
        <item x="77"/>
        <item x="168"/>
        <item x="54"/>
        <item x="174"/>
        <item x="74"/>
        <item x="64"/>
        <item x="66"/>
        <item x="154"/>
        <item x="123"/>
        <item x="130"/>
        <item x="94"/>
        <item x="57"/>
        <item x="109"/>
        <item x="80"/>
        <item x="145"/>
        <item x="152"/>
        <item x="117"/>
        <item x="127"/>
        <item x="158"/>
        <item x="99"/>
        <item x="122"/>
        <item x="86"/>
        <item x="175"/>
        <item x="106"/>
        <item x="2"/>
        <item x="15"/>
        <item x="3"/>
        <item x="60"/>
        <item x="8"/>
        <item x="11"/>
        <item x="7"/>
        <item x="13"/>
        <item x="1"/>
        <item x="9"/>
        <item x="5"/>
        <item x="6"/>
        <item x="17"/>
        <item x="181"/>
        <item x="14"/>
        <item x="180"/>
        <item x="179"/>
        <item x="12"/>
        <item x="0"/>
        <item x="4"/>
        <item x="16"/>
        <item x="10"/>
        <item x="182"/>
        <item t="default"/>
      </items>
    </pivotField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18">
        <item x="11"/>
        <item x="12"/>
        <item x="4"/>
        <item x="8"/>
        <item x="13"/>
        <item x="3"/>
        <item x="6"/>
        <item x="15"/>
        <item x="7"/>
        <item x="9"/>
        <item x="2"/>
        <item x="5"/>
        <item x="10"/>
        <item x="14"/>
        <item x="1"/>
        <item x="0"/>
        <item x="16"/>
        <item t="default"/>
      </items>
    </pivotField>
    <pivotField showAll="0" defaultSubtotal="0"/>
    <pivotField showAll="0" defaultSubtotal="0"/>
    <pivotField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Modalidade" fld="10" subtotal="count" baseField="0" baseItem="0"/>
  </dataFields>
  <chartFormats count="5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9903B-4F8B-4099-90B7-A8F69BB23D61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3:E1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numFmtId="14" showAll="0">
      <items count="185">
        <item x="39"/>
        <item x="59"/>
        <item x="162"/>
        <item x="41"/>
        <item x="69"/>
        <item x="20"/>
        <item x="161"/>
        <item x="50"/>
        <item x="52"/>
        <item x="62"/>
        <item x="136"/>
        <item x="172"/>
        <item x="107"/>
        <item x="33"/>
        <item x="148"/>
        <item x="121"/>
        <item x="73"/>
        <item x="67"/>
        <item x="48"/>
        <item x="45"/>
        <item x="102"/>
        <item x="96"/>
        <item x="32"/>
        <item x="139"/>
        <item x="31"/>
        <item x="19"/>
        <item x="144"/>
        <item x="37"/>
        <item x="101"/>
        <item x="140"/>
        <item x="27"/>
        <item x="89"/>
        <item x="159"/>
        <item x="97"/>
        <item x="44"/>
        <item x="38"/>
        <item x="150"/>
        <item x="58"/>
        <item x="22"/>
        <item x="28"/>
        <item x="155"/>
        <item x="171"/>
        <item x="46"/>
        <item x="84"/>
        <item x="30"/>
        <item x="24"/>
        <item x="163"/>
        <item x="115"/>
        <item x="91"/>
        <item x="116"/>
        <item x="118"/>
        <item x="131"/>
        <item x="65"/>
        <item x="85"/>
        <item x="133"/>
        <item x="105"/>
        <item x="151"/>
        <item x="143"/>
        <item x="153"/>
        <item x="164"/>
        <item x="92"/>
        <item x="98"/>
        <item x="82"/>
        <item x="137"/>
        <item x="142"/>
        <item x="23"/>
        <item x="76"/>
        <item x="119"/>
        <item x="132"/>
        <item x="75"/>
        <item x="53"/>
        <item x="29"/>
        <item x="78"/>
        <item x="95"/>
        <item x="63"/>
        <item x="34"/>
        <item x="124"/>
        <item x="72"/>
        <item x="100"/>
        <item x="79"/>
        <item x="135"/>
        <item x="111"/>
        <item x="157"/>
        <item x="81"/>
        <item x="114"/>
        <item x="134"/>
        <item x="183"/>
        <item x="108"/>
        <item x="110"/>
        <item x="141"/>
        <item x="147"/>
        <item x="83"/>
        <item x="49"/>
        <item x="47"/>
        <item x="146"/>
        <item x="166"/>
        <item x="56"/>
        <item x="103"/>
        <item x="43"/>
        <item x="68"/>
        <item x="51"/>
        <item x="93"/>
        <item x="138"/>
        <item x="178"/>
        <item x="125"/>
        <item x="87"/>
        <item x="177"/>
        <item x="156"/>
        <item x="126"/>
        <item x="88"/>
        <item x="169"/>
        <item x="18"/>
        <item x="36"/>
        <item x="112"/>
        <item x="40"/>
        <item x="55"/>
        <item x="26"/>
        <item x="129"/>
        <item x="104"/>
        <item x="71"/>
        <item x="113"/>
        <item x="21"/>
        <item x="160"/>
        <item x="176"/>
        <item x="128"/>
        <item x="25"/>
        <item x="165"/>
        <item x="173"/>
        <item x="167"/>
        <item x="90"/>
        <item x="70"/>
        <item x="120"/>
        <item x="35"/>
        <item x="42"/>
        <item x="149"/>
        <item x="61"/>
        <item x="170"/>
        <item x="77"/>
        <item x="168"/>
        <item x="54"/>
        <item x="174"/>
        <item x="74"/>
        <item x="64"/>
        <item x="66"/>
        <item x="154"/>
        <item x="123"/>
        <item x="130"/>
        <item x="94"/>
        <item x="57"/>
        <item x="109"/>
        <item x="80"/>
        <item x="145"/>
        <item x="152"/>
        <item x="117"/>
        <item x="127"/>
        <item x="158"/>
        <item x="99"/>
        <item x="122"/>
        <item x="86"/>
        <item x="175"/>
        <item x="106"/>
        <item x="2"/>
        <item x="15"/>
        <item x="3"/>
        <item x="60"/>
        <item x="8"/>
        <item x="11"/>
        <item x="7"/>
        <item x="13"/>
        <item x="1"/>
        <item x="9"/>
        <item x="5"/>
        <item x="6"/>
        <item x="17"/>
        <item x="181"/>
        <item x="14"/>
        <item x="180"/>
        <item x="179"/>
        <item x="12"/>
        <item x="0"/>
        <item x="4"/>
        <item x="16"/>
        <item x="10"/>
        <item x="18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8">
        <item x="11"/>
        <item x="12"/>
        <item x="4"/>
        <item x="8"/>
        <item x="13"/>
        <item x="3"/>
        <item x="6"/>
        <item x="15"/>
        <item x="7"/>
        <item x="9"/>
        <item x="2"/>
        <item x="5"/>
        <item x="10"/>
        <item x="14"/>
        <item x="1"/>
        <item x="0"/>
        <item x="1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x="17"/>
        <item x="18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ário_Mensal" fld="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5F460-37A1-4FBC-A93C-A8F47E071E32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3:B8" firstHeaderRow="1" firstDataRow="1" firstDataCol="1"/>
  <pivotFields count="19"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85">
        <item x="39"/>
        <item x="59"/>
        <item x="162"/>
        <item x="41"/>
        <item x="69"/>
        <item x="20"/>
        <item x="161"/>
        <item x="50"/>
        <item x="52"/>
        <item x="62"/>
        <item x="136"/>
        <item x="172"/>
        <item x="107"/>
        <item x="33"/>
        <item x="148"/>
        <item x="121"/>
        <item x="73"/>
        <item x="67"/>
        <item x="48"/>
        <item x="45"/>
        <item x="102"/>
        <item x="96"/>
        <item x="32"/>
        <item x="139"/>
        <item x="31"/>
        <item x="19"/>
        <item x="144"/>
        <item x="37"/>
        <item x="101"/>
        <item x="140"/>
        <item x="27"/>
        <item x="89"/>
        <item x="159"/>
        <item x="97"/>
        <item x="44"/>
        <item x="38"/>
        <item x="150"/>
        <item x="58"/>
        <item x="22"/>
        <item x="28"/>
        <item x="155"/>
        <item x="171"/>
        <item x="46"/>
        <item x="84"/>
        <item x="30"/>
        <item x="24"/>
        <item x="163"/>
        <item x="115"/>
        <item x="91"/>
        <item x="116"/>
        <item x="118"/>
        <item x="131"/>
        <item x="65"/>
        <item x="85"/>
        <item x="133"/>
        <item x="105"/>
        <item x="151"/>
        <item x="143"/>
        <item x="153"/>
        <item x="164"/>
        <item x="92"/>
        <item x="98"/>
        <item x="82"/>
        <item x="137"/>
        <item x="142"/>
        <item x="23"/>
        <item x="76"/>
        <item x="119"/>
        <item x="132"/>
        <item x="75"/>
        <item x="53"/>
        <item x="29"/>
        <item x="78"/>
        <item x="95"/>
        <item x="63"/>
        <item x="34"/>
        <item x="124"/>
        <item x="72"/>
        <item x="100"/>
        <item x="79"/>
        <item x="135"/>
        <item x="111"/>
        <item x="157"/>
        <item x="81"/>
        <item x="114"/>
        <item x="134"/>
        <item x="183"/>
        <item x="108"/>
        <item x="110"/>
        <item x="141"/>
        <item x="147"/>
        <item x="83"/>
        <item x="49"/>
        <item x="47"/>
        <item x="146"/>
        <item x="166"/>
        <item x="56"/>
        <item x="103"/>
        <item x="43"/>
        <item x="68"/>
        <item x="51"/>
        <item x="93"/>
        <item x="138"/>
        <item x="178"/>
        <item x="125"/>
        <item x="87"/>
        <item x="177"/>
        <item x="156"/>
        <item x="126"/>
        <item x="88"/>
        <item x="169"/>
        <item x="18"/>
        <item x="36"/>
        <item x="112"/>
        <item x="40"/>
        <item x="55"/>
        <item x="26"/>
        <item x="129"/>
        <item x="104"/>
        <item x="71"/>
        <item x="113"/>
        <item x="21"/>
        <item x="160"/>
        <item x="176"/>
        <item x="128"/>
        <item x="25"/>
        <item x="165"/>
        <item x="173"/>
        <item x="167"/>
        <item x="90"/>
        <item x="70"/>
        <item x="120"/>
        <item x="35"/>
        <item x="42"/>
        <item x="149"/>
        <item x="61"/>
        <item x="170"/>
        <item x="77"/>
        <item x="168"/>
        <item x="54"/>
        <item x="174"/>
        <item x="74"/>
        <item x="64"/>
        <item x="66"/>
        <item x="154"/>
        <item x="123"/>
        <item x="130"/>
        <item x="94"/>
        <item x="57"/>
        <item x="109"/>
        <item x="80"/>
        <item x="145"/>
        <item x="152"/>
        <item x="117"/>
        <item x="127"/>
        <item x="158"/>
        <item x="99"/>
        <item x="122"/>
        <item x="86"/>
        <item x="175"/>
        <item x="106"/>
        <item x="2"/>
        <item x="15"/>
        <item x="3"/>
        <item x="60"/>
        <item x="8"/>
        <item x="11"/>
        <item x="7"/>
        <item x="13"/>
        <item x="1"/>
        <item x="9"/>
        <item x="5"/>
        <item x="6"/>
        <item x="17"/>
        <item x="181"/>
        <item x="14"/>
        <item x="180"/>
        <item x="179"/>
        <item x="12"/>
        <item x="0"/>
        <item x="4"/>
        <item x="16"/>
        <item x="10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1"/>
        <item x="12"/>
        <item x="4"/>
        <item x="8"/>
        <item x="13"/>
        <item x="3"/>
        <item x="6"/>
        <item x="15"/>
        <item x="7"/>
        <item x="9"/>
        <item x="2"/>
        <item x="5"/>
        <item x="10"/>
        <item x="14"/>
        <item x="1"/>
        <item x="0"/>
        <item x="1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5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ntagem de Tipo_Contrato" fld="5" subtotal="count" baseField="0" baseItem="0"/>
  </dataField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9E93DB9-6034-41C5-98B7-AA9AF7DB7111}" autoFormatId="16" applyNumberFormats="0" applyBorderFormats="0" applyFontFormats="0" applyPatternFormats="0" applyAlignmentFormats="0" applyWidthHeightFormats="0">
  <queryTableRefresh nextId="17">
    <queryTableFields count="16">
      <queryTableField id="1" name="ID_Funcionario" tableColumnId="1"/>
      <queryTableField id="2" name="Nome" tableColumnId="2"/>
      <queryTableField id="3" name="Idade" tableColumnId="3"/>
      <queryTableField id="4" name="Área" tableColumnId="4"/>
      <queryTableField id="5" name="Cargo" tableColumnId="5"/>
      <queryTableField id="6" name="Tipo_Contrato" tableColumnId="6"/>
      <queryTableField id="7" name="Data_Admissão" tableColumnId="7"/>
      <queryTableField id="8" name="Data_Desligamento" tableColumnId="8"/>
      <queryTableField id="9" name="Motivo_Desligamento" tableColumnId="9"/>
      <queryTableField id="10" name="Salário_Mensal" tableColumnId="10"/>
      <queryTableField id="11" name="Modalidade" tableColumnId="11"/>
      <queryTableField id="12" name="Performance_Último_Ano" tableColumnId="12"/>
      <queryTableField id="13" name="Dias_Afastamento_12m" tableColumnId="13"/>
      <queryTableField id="14" name="Treinamentos_12m" tableColumnId="14"/>
      <queryTableField id="15" name="Mês de Admissão" tableColumnId="15"/>
      <queryTableField id="16" name="Ano de Admissão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de_Admissão" xr10:uid="{4B377D05-919E-4E5F-B2BD-46AECB558155}" sourceName="Ano de Admissão">
  <pivotTables>
    <pivotTable tabId="7" name="Tabela dinâmica1"/>
    <pivotTable tabId="7" name="Tabela dinâmica2"/>
    <pivotTable tabId="7" name="Tabela dinâmica3"/>
  </pivotTables>
  <data>
    <tabular pivotCacheId="859939799">
      <items count="17">
        <i x="11" s="1"/>
        <i x="12" s="1"/>
        <i x="4" s="1"/>
        <i x="8" s="1"/>
        <i x="13" s="1"/>
        <i x="3" s="1"/>
        <i x="6" s="1"/>
        <i x="15" s="1"/>
        <i x="7" s="1"/>
        <i x="9" s="1"/>
        <i x="2" s="1"/>
        <i x="5" s="1"/>
        <i x="10" s="1"/>
        <i x="14" s="1"/>
        <i x="1" s="1"/>
        <i x="0" s="1"/>
        <i x="1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de Admissão" xr10:uid="{D8AB5B60-C910-4282-97D5-E3D7CDE38F90}" cache="SegmentaçãodeDados_Ano_de_Admissão" caption="Ano de Admissão" columnCount="17" style="SlicerStyleDark5" rowHeight="36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93679-A588-4757-AE09-6BC56E402EB9}" name="Tabela___Consolidada" displayName="Tabela___Consolidada" ref="A1:P204" tableType="queryTable" totalsRowShown="0">
  <autoFilter ref="A1:P204" xr:uid="{FB393679-A588-4757-AE09-6BC56E402EB9}"/>
  <tableColumns count="16">
    <tableColumn id="1" xr3:uid="{84C3397F-B40A-4FD0-B9DD-96D1762A87C9}" uniqueName="1" name="ID_Funcionario" queryTableFieldId="1"/>
    <tableColumn id="2" xr3:uid="{165BF830-72B7-4CA5-AD21-65D5B84D850A}" uniqueName="2" name="Nome" queryTableFieldId="2" dataDxfId="6"/>
    <tableColumn id="3" xr3:uid="{46F209B5-9602-497B-B7DB-361F0D9B1FFF}" uniqueName="3" name="Idade" queryTableFieldId="3"/>
    <tableColumn id="4" xr3:uid="{87E2B4B8-FCAC-473B-BCE8-72A2D01695B1}" uniqueName="4" name="Área" queryTableFieldId="4" dataDxfId="5"/>
    <tableColumn id="5" xr3:uid="{684EF423-FB88-4072-A5F5-49983D758CCA}" uniqueName="5" name="Cargo" queryTableFieldId="5" dataDxfId="4"/>
    <tableColumn id="6" xr3:uid="{C74D0FE6-F5B1-4DB1-BAB4-DF007C4EFB91}" uniqueName="6" name="Tipo_Contrato" queryTableFieldId="6" dataDxfId="3"/>
    <tableColumn id="7" xr3:uid="{62A59ACB-CB5A-45FA-BF3B-E513BE539AA6}" uniqueName="7" name="Data_Admissão" queryTableFieldId="7" dataDxfId="1"/>
    <tableColumn id="8" xr3:uid="{D6351923-E263-4E11-9126-A63C080411E2}" uniqueName="8" name="Data_Desligamento" queryTableFieldId="8"/>
    <tableColumn id="9" xr3:uid="{F2727951-07E1-43FD-950A-8BEA9C405E9E}" uniqueName="9" name="Motivo_Desligamento" queryTableFieldId="9"/>
    <tableColumn id="10" xr3:uid="{D0AF7437-CD44-47A4-BF5C-D4D915F3D3A7}" uniqueName="10" name="Salário_Mensal" queryTableFieldId="10" dataDxfId="0"/>
    <tableColumn id="11" xr3:uid="{0406E251-BA50-41F1-9649-7B4C205E0F06}" uniqueName="11" name="Modalidade" queryTableFieldId="11" dataDxfId="2"/>
    <tableColumn id="12" xr3:uid="{45066D52-1B4F-43A4-A1E8-CD5039E06CC0}" uniqueName="12" name="Performance_Último_Ano" queryTableFieldId="12"/>
    <tableColumn id="13" xr3:uid="{ECF79C1C-59F0-4AD7-BD1E-2D2D43B39574}" uniqueName="13" name="Dias_Afastamento_12m" queryTableFieldId="13"/>
    <tableColumn id="14" xr3:uid="{2F0871AA-4C6E-4C3D-9150-8D0961472114}" uniqueName="14" name="Treinamentos_12m" queryTableFieldId="14"/>
    <tableColumn id="15" xr3:uid="{FCB501CA-E28B-43CC-A63F-53B588A3801B}" uniqueName="15" name="Mês de Admissão" queryTableFieldId="15"/>
    <tableColumn id="16" xr3:uid="{17AC5449-8580-4274-9901-FCC157737AE0}" uniqueName="16" name="Ano de Admissã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0C9-4CB3-4484-95F1-58E48F804256}">
  <dimension ref="A1:P204"/>
  <sheetViews>
    <sheetView workbookViewId="0">
      <selection activeCell="I17" sqref="I17"/>
    </sheetView>
  </sheetViews>
  <sheetFormatPr defaultRowHeight="14.4" x14ac:dyDescent="0.3"/>
  <cols>
    <col min="1" max="1" width="16" bestFit="1" customWidth="1"/>
    <col min="2" max="2" width="17.88671875" bestFit="1" customWidth="1"/>
    <col min="3" max="3" width="8" bestFit="1" customWidth="1"/>
    <col min="4" max="4" width="11.5546875" bestFit="1" customWidth="1"/>
    <col min="5" max="5" width="30.77734375" bestFit="1" customWidth="1"/>
    <col min="6" max="6" width="15.44140625" bestFit="1" customWidth="1"/>
    <col min="7" max="7" width="16.33203125" bestFit="1" customWidth="1"/>
    <col min="8" max="8" width="19.77734375" bestFit="1" customWidth="1"/>
    <col min="9" max="9" width="25.77734375" bestFit="1" customWidth="1"/>
    <col min="10" max="10" width="17.44140625" style="8" bestFit="1" customWidth="1"/>
    <col min="11" max="11" width="13.33203125" bestFit="1" customWidth="1"/>
    <col min="12" max="12" width="25.5546875" bestFit="1" customWidth="1"/>
    <col min="13" max="13" width="23.5546875" bestFit="1" customWidth="1"/>
    <col min="14" max="14" width="19.6640625" bestFit="1" customWidth="1"/>
    <col min="15" max="15" width="18" bestFit="1" customWidth="1"/>
    <col min="16" max="16" width="17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1002</v>
      </c>
      <c r="B2" t="s">
        <v>30</v>
      </c>
      <c r="C2">
        <v>25</v>
      </c>
      <c r="D2" t="s">
        <v>31</v>
      </c>
      <c r="E2" t="s">
        <v>32</v>
      </c>
      <c r="F2" t="s">
        <v>33</v>
      </c>
      <c r="G2" s="1">
        <v>45341</v>
      </c>
      <c r="J2" s="8">
        <v>1800</v>
      </c>
      <c r="K2" t="s">
        <v>34</v>
      </c>
      <c r="L2">
        <v>3</v>
      </c>
      <c r="M2">
        <v>2</v>
      </c>
      <c r="N2">
        <v>2</v>
      </c>
      <c r="O2" t="s">
        <v>21</v>
      </c>
      <c r="P2">
        <v>2024</v>
      </c>
    </row>
    <row r="3" spans="1:16" x14ac:dyDescent="0.3">
      <c r="A3">
        <v>1020</v>
      </c>
      <c r="B3" t="s">
        <v>35</v>
      </c>
      <c r="C3">
        <v>24</v>
      </c>
      <c r="D3" t="s">
        <v>36</v>
      </c>
      <c r="E3" t="s">
        <v>37</v>
      </c>
      <c r="F3" t="s">
        <v>33</v>
      </c>
      <c r="G3" s="1">
        <v>45173</v>
      </c>
      <c r="J3" s="8">
        <v>1800</v>
      </c>
      <c r="K3" t="s">
        <v>34</v>
      </c>
      <c r="L3">
        <v>4</v>
      </c>
      <c r="M3">
        <v>0</v>
      </c>
      <c r="N3">
        <v>2</v>
      </c>
      <c r="O3" t="s">
        <v>38</v>
      </c>
      <c r="P3">
        <v>2023</v>
      </c>
    </row>
    <row r="4" spans="1:16" x14ac:dyDescent="0.3">
      <c r="A4">
        <v>1026</v>
      </c>
      <c r="B4" t="s">
        <v>39</v>
      </c>
      <c r="C4">
        <v>25</v>
      </c>
      <c r="D4" t="s">
        <v>26</v>
      </c>
      <c r="E4" t="s">
        <v>40</v>
      </c>
      <c r="F4" t="s">
        <v>33</v>
      </c>
      <c r="G4" s="1">
        <v>44991</v>
      </c>
      <c r="J4" s="8">
        <v>1900</v>
      </c>
      <c r="K4" t="s">
        <v>34</v>
      </c>
      <c r="L4">
        <v>3</v>
      </c>
      <c r="M4">
        <v>0</v>
      </c>
      <c r="N4">
        <v>2</v>
      </c>
      <c r="O4" t="s">
        <v>41</v>
      </c>
      <c r="P4">
        <v>2023</v>
      </c>
    </row>
    <row r="5" spans="1:16" x14ac:dyDescent="0.3">
      <c r="A5">
        <v>1035</v>
      </c>
      <c r="B5" t="s">
        <v>42</v>
      </c>
      <c r="C5">
        <v>20</v>
      </c>
      <c r="D5" t="s">
        <v>26</v>
      </c>
      <c r="E5" t="s">
        <v>40</v>
      </c>
      <c r="F5" t="s">
        <v>33</v>
      </c>
      <c r="G5" s="1">
        <v>45021</v>
      </c>
      <c r="J5" s="8">
        <v>1800</v>
      </c>
      <c r="K5" t="s">
        <v>20</v>
      </c>
      <c r="L5">
        <v>5</v>
      </c>
      <c r="M5">
        <v>8</v>
      </c>
      <c r="N5">
        <v>2</v>
      </c>
      <c r="O5" t="s">
        <v>43</v>
      </c>
      <c r="P5">
        <v>2023</v>
      </c>
    </row>
    <row r="6" spans="1:16" x14ac:dyDescent="0.3">
      <c r="A6">
        <v>1047</v>
      </c>
      <c r="B6" t="s">
        <v>44</v>
      </c>
      <c r="C6">
        <v>24</v>
      </c>
      <c r="D6" t="s">
        <v>26</v>
      </c>
      <c r="E6" t="s">
        <v>45</v>
      </c>
      <c r="F6" t="s">
        <v>33</v>
      </c>
      <c r="G6" s="1">
        <v>45362</v>
      </c>
      <c r="J6" s="8">
        <v>1900</v>
      </c>
      <c r="K6" t="s">
        <v>34</v>
      </c>
      <c r="L6">
        <v>3</v>
      </c>
      <c r="M6">
        <v>5</v>
      </c>
      <c r="N6">
        <v>2</v>
      </c>
      <c r="O6" t="s">
        <v>41</v>
      </c>
      <c r="P6">
        <v>2024</v>
      </c>
    </row>
    <row r="7" spans="1:16" x14ac:dyDescent="0.3">
      <c r="A7">
        <v>1053</v>
      </c>
      <c r="B7" t="s">
        <v>46</v>
      </c>
      <c r="C7">
        <v>29</v>
      </c>
      <c r="D7" t="s">
        <v>36</v>
      </c>
      <c r="E7" t="s">
        <v>37</v>
      </c>
      <c r="F7" t="s">
        <v>33</v>
      </c>
      <c r="G7" s="1">
        <v>45203</v>
      </c>
      <c r="J7" s="8">
        <v>1800</v>
      </c>
      <c r="K7" t="s">
        <v>20</v>
      </c>
      <c r="L7">
        <v>3</v>
      </c>
      <c r="M7">
        <v>7</v>
      </c>
      <c r="N7">
        <v>2</v>
      </c>
      <c r="O7" t="s">
        <v>47</v>
      </c>
      <c r="P7">
        <v>2023</v>
      </c>
    </row>
    <row r="8" spans="1:16" x14ac:dyDescent="0.3">
      <c r="A8">
        <v>1082</v>
      </c>
      <c r="B8" t="s">
        <v>48</v>
      </c>
      <c r="C8">
        <v>24</v>
      </c>
      <c r="D8" t="s">
        <v>36</v>
      </c>
      <c r="E8" t="s">
        <v>37</v>
      </c>
      <c r="F8" t="s">
        <v>33</v>
      </c>
      <c r="G8" s="1">
        <v>45299</v>
      </c>
      <c r="J8" s="8">
        <v>1700</v>
      </c>
      <c r="K8" t="s">
        <v>20</v>
      </c>
      <c r="L8">
        <v>4</v>
      </c>
      <c r="M8">
        <v>1</v>
      </c>
      <c r="N8">
        <v>2</v>
      </c>
      <c r="O8" t="s">
        <v>49</v>
      </c>
      <c r="P8">
        <v>2024</v>
      </c>
    </row>
    <row r="9" spans="1:16" x14ac:dyDescent="0.3">
      <c r="A9">
        <v>1086</v>
      </c>
      <c r="B9" t="s">
        <v>50</v>
      </c>
      <c r="C9">
        <v>24</v>
      </c>
      <c r="D9" t="s">
        <v>36</v>
      </c>
      <c r="E9" t="s">
        <v>37</v>
      </c>
      <c r="F9" t="s">
        <v>33</v>
      </c>
      <c r="G9" s="1">
        <v>45154</v>
      </c>
      <c r="J9" s="8">
        <v>1800</v>
      </c>
      <c r="K9" t="s">
        <v>20</v>
      </c>
      <c r="L9">
        <v>4</v>
      </c>
      <c r="M9">
        <v>0</v>
      </c>
      <c r="N9">
        <v>2</v>
      </c>
      <c r="O9" t="s">
        <v>51</v>
      </c>
      <c r="P9">
        <v>2023</v>
      </c>
    </row>
    <row r="10" spans="1:16" x14ac:dyDescent="0.3">
      <c r="A10">
        <v>1093</v>
      </c>
      <c r="B10" t="s">
        <v>52</v>
      </c>
      <c r="C10">
        <v>28</v>
      </c>
      <c r="D10" t="s">
        <v>26</v>
      </c>
      <c r="E10" t="s">
        <v>45</v>
      </c>
      <c r="F10" t="s">
        <v>33</v>
      </c>
      <c r="G10" s="1">
        <v>45049</v>
      </c>
      <c r="J10" s="8">
        <v>1800</v>
      </c>
      <c r="K10" t="s">
        <v>20</v>
      </c>
      <c r="L10">
        <v>3</v>
      </c>
      <c r="M10">
        <v>0</v>
      </c>
      <c r="N10">
        <v>2</v>
      </c>
      <c r="O10" t="s">
        <v>53</v>
      </c>
      <c r="P10">
        <v>2023</v>
      </c>
    </row>
    <row r="11" spans="1:16" x14ac:dyDescent="0.3">
      <c r="A11">
        <v>1101</v>
      </c>
      <c r="B11" t="s">
        <v>54</v>
      </c>
      <c r="C11">
        <v>26</v>
      </c>
      <c r="D11" t="s">
        <v>26</v>
      </c>
      <c r="E11" t="s">
        <v>45</v>
      </c>
      <c r="F11" t="s">
        <v>33</v>
      </c>
      <c r="G11" s="1">
        <v>45189</v>
      </c>
      <c r="J11" s="8">
        <v>1800</v>
      </c>
      <c r="K11" t="s">
        <v>34</v>
      </c>
      <c r="L11">
        <v>4</v>
      </c>
      <c r="M11">
        <v>7</v>
      </c>
      <c r="N11">
        <v>2</v>
      </c>
      <c r="O11" t="s">
        <v>38</v>
      </c>
      <c r="P11">
        <v>2023</v>
      </c>
    </row>
    <row r="12" spans="1:16" x14ac:dyDescent="0.3">
      <c r="A12">
        <v>1115</v>
      </c>
      <c r="B12" t="s">
        <v>55</v>
      </c>
      <c r="C12">
        <v>23</v>
      </c>
      <c r="D12" t="s">
        <v>26</v>
      </c>
      <c r="E12" t="s">
        <v>45</v>
      </c>
      <c r="F12" t="s">
        <v>33</v>
      </c>
      <c r="G12" s="1">
        <v>45392</v>
      </c>
      <c r="J12" s="8">
        <v>1800</v>
      </c>
      <c r="K12" t="s">
        <v>20</v>
      </c>
      <c r="L12">
        <v>5</v>
      </c>
      <c r="M12">
        <v>0</v>
      </c>
      <c r="N12">
        <v>2</v>
      </c>
      <c r="O12" t="s">
        <v>43</v>
      </c>
      <c r="P12">
        <v>2024</v>
      </c>
    </row>
    <row r="13" spans="1:16" x14ac:dyDescent="0.3">
      <c r="A13">
        <v>1122</v>
      </c>
      <c r="B13" t="s">
        <v>56</v>
      </c>
      <c r="C13">
        <v>24</v>
      </c>
      <c r="D13" t="s">
        <v>36</v>
      </c>
      <c r="E13" t="s">
        <v>37</v>
      </c>
      <c r="F13" t="s">
        <v>33</v>
      </c>
      <c r="G13" s="1">
        <v>45124</v>
      </c>
      <c r="J13" s="8">
        <v>1800</v>
      </c>
      <c r="K13" t="s">
        <v>20</v>
      </c>
      <c r="L13">
        <v>4</v>
      </c>
      <c r="M13">
        <v>7</v>
      </c>
      <c r="N13">
        <v>2</v>
      </c>
      <c r="O13" t="s">
        <v>57</v>
      </c>
      <c r="P13">
        <v>2023</v>
      </c>
    </row>
    <row r="14" spans="1:16" x14ac:dyDescent="0.3">
      <c r="A14">
        <v>1127</v>
      </c>
      <c r="B14" t="s">
        <v>58</v>
      </c>
      <c r="C14">
        <v>27</v>
      </c>
      <c r="D14" t="s">
        <v>36</v>
      </c>
      <c r="E14" t="s">
        <v>37</v>
      </c>
      <c r="F14" t="s">
        <v>33</v>
      </c>
      <c r="G14" s="1">
        <v>45336</v>
      </c>
      <c r="J14" s="8">
        <v>1800</v>
      </c>
      <c r="K14" t="s">
        <v>20</v>
      </c>
      <c r="L14">
        <v>3</v>
      </c>
      <c r="M14">
        <v>10</v>
      </c>
      <c r="N14">
        <v>2</v>
      </c>
      <c r="O14" t="s">
        <v>21</v>
      </c>
      <c r="P14">
        <v>2024</v>
      </c>
    </row>
    <row r="15" spans="1:16" x14ac:dyDescent="0.3">
      <c r="A15">
        <v>1132</v>
      </c>
      <c r="B15" t="s">
        <v>59</v>
      </c>
      <c r="C15">
        <v>24</v>
      </c>
      <c r="D15" t="s">
        <v>26</v>
      </c>
      <c r="E15" t="s">
        <v>45</v>
      </c>
      <c r="F15" t="s">
        <v>33</v>
      </c>
      <c r="G15" s="1">
        <v>45159</v>
      </c>
      <c r="J15" s="8">
        <v>1850</v>
      </c>
      <c r="K15" t="s">
        <v>34</v>
      </c>
      <c r="L15">
        <v>3</v>
      </c>
      <c r="M15">
        <v>0</v>
      </c>
      <c r="N15">
        <v>2</v>
      </c>
      <c r="O15" t="s">
        <v>51</v>
      </c>
      <c r="P15">
        <v>2023</v>
      </c>
    </row>
    <row r="16" spans="1:16" x14ac:dyDescent="0.3">
      <c r="A16">
        <v>1140</v>
      </c>
      <c r="B16" t="s">
        <v>60</v>
      </c>
      <c r="C16">
        <v>23</v>
      </c>
      <c r="D16" t="s">
        <v>36</v>
      </c>
      <c r="E16" t="s">
        <v>37</v>
      </c>
      <c r="F16" t="s">
        <v>33</v>
      </c>
      <c r="G16" s="1">
        <v>45329</v>
      </c>
      <c r="J16" s="8">
        <v>1800</v>
      </c>
      <c r="K16" t="s">
        <v>20</v>
      </c>
      <c r="L16">
        <v>4</v>
      </c>
      <c r="M16">
        <v>6</v>
      </c>
      <c r="N16">
        <v>2</v>
      </c>
      <c r="O16" t="s">
        <v>21</v>
      </c>
      <c r="P16">
        <v>2024</v>
      </c>
    </row>
    <row r="17" spans="1:16" x14ac:dyDescent="0.3">
      <c r="A17">
        <v>1144</v>
      </c>
      <c r="B17" t="s">
        <v>61</v>
      </c>
      <c r="C17">
        <v>24</v>
      </c>
      <c r="D17" t="s">
        <v>26</v>
      </c>
      <c r="E17" t="s">
        <v>45</v>
      </c>
      <c r="F17" t="s">
        <v>33</v>
      </c>
      <c r="G17" s="1">
        <v>45019</v>
      </c>
      <c r="J17" s="8">
        <v>1850</v>
      </c>
      <c r="K17" t="s">
        <v>34</v>
      </c>
      <c r="L17">
        <v>3</v>
      </c>
      <c r="M17">
        <v>0</v>
      </c>
      <c r="N17">
        <v>2</v>
      </c>
      <c r="O17" t="s">
        <v>43</v>
      </c>
      <c r="P17">
        <v>2023</v>
      </c>
    </row>
    <row r="18" spans="1:16" x14ac:dyDescent="0.3">
      <c r="A18">
        <v>1153</v>
      </c>
      <c r="B18" t="s">
        <v>62</v>
      </c>
      <c r="C18">
        <v>26</v>
      </c>
      <c r="D18" t="s">
        <v>31</v>
      </c>
      <c r="E18" t="s">
        <v>32</v>
      </c>
      <c r="F18" t="s">
        <v>33</v>
      </c>
      <c r="G18" s="1">
        <v>45371</v>
      </c>
      <c r="J18" s="8">
        <v>1800</v>
      </c>
      <c r="K18" t="s">
        <v>34</v>
      </c>
      <c r="L18">
        <v>2</v>
      </c>
      <c r="M18">
        <v>0</v>
      </c>
      <c r="N18">
        <v>2</v>
      </c>
      <c r="O18" t="s">
        <v>41</v>
      </c>
      <c r="P18">
        <v>2024</v>
      </c>
    </row>
    <row r="19" spans="1:16" x14ac:dyDescent="0.3">
      <c r="A19">
        <v>1199</v>
      </c>
      <c r="B19" t="s">
        <v>63</v>
      </c>
      <c r="C19">
        <v>22</v>
      </c>
      <c r="D19" t="s">
        <v>36</v>
      </c>
      <c r="E19" t="s">
        <v>37</v>
      </c>
      <c r="F19" t="s">
        <v>33</v>
      </c>
      <c r="G19" s="1">
        <v>45306</v>
      </c>
      <c r="J19" s="8">
        <v>1800</v>
      </c>
      <c r="K19" t="s">
        <v>20</v>
      </c>
      <c r="L19">
        <v>4</v>
      </c>
      <c r="M19">
        <v>6</v>
      </c>
      <c r="N19">
        <v>2</v>
      </c>
      <c r="O19" t="s">
        <v>49</v>
      </c>
      <c r="P19">
        <v>2024</v>
      </c>
    </row>
    <row r="20" spans="1:16" x14ac:dyDescent="0.3">
      <c r="A20">
        <v>1000</v>
      </c>
      <c r="B20" t="s">
        <v>64</v>
      </c>
      <c r="C20">
        <v>32</v>
      </c>
      <c r="D20" t="s">
        <v>65</v>
      </c>
      <c r="E20" t="s">
        <v>66</v>
      </c>
      <c r="F20" t="s">
        <v>67</v>
      </c>
      <c r="G20" s="1">
        <v>43759</v>
      </c>
      <c r="J20" s="8">
        <v>4800</v>
      </c>
      <c r="K20" t="s">
        <v>20</v>
      </c>
      <c r="L20">
        <v>3</v>
      </c>
      <c r="M20">
        <v>1</v>
      </c>
      <c r="N20">
        <v>3</v>
      </c>
      <c r="O20" t="s">
        <v>47</v>
      </c>
      <c r="P20">
        <v>2019</v>
      </c>
    </row>
    <row r="21" spans="1:16" x14ac:dyDescent="0.3">
      <c r="A21">
        <v>1001</v>
      </c>
      <c r="B21" t="s">
        <v>68</v>
      </c>
      <c r="C21">
        <v>40</v>
      </c>
      <c r="D21" t="s">
        <v>69</v>
      </c>
      <c r="E21" t="s">
        <v>70</v>
      </c>
      <c r="F21" t="s">
        <v>67</v>
      </c>
      <c r="G21" s="1">
        <v>41729</v>
      </c>
      <c r="J21" s="8">
        <v>5400</v>
      </c>
      <c r="K21" t="s">
        <v>34</v>
      </c>
      <c r="L21">
        <v>4</v>
      </c>
      <c r="M21">
        <v>0</v>
      </c>
      <c r="N21">
        <v>4</v>
      </c>
      <c r="O21" t="s">
        <v>41</v>
      </c>
      <c r="P21">
        <v>2014</v>
      </c>
    </row>
    <row r="22" spans="1:16" x14ac:dyDescent="0.3">
      <c r="A22">
        <v>1003</v>
      </c>
      <c r="B22" t="s">
        <v>71</v>
      </c>
      <c r="C22">
        <v>47</v>
      </c>
      <c r="D22" t="s">
        <v>65</v>
      </c>
      <c r="E22" t="s">
        <v>72</v>
      </c>
      <c r="F22" t="s">
        <v>67</v>
      </c>
      <c r="G22" s="1">
        <v>40588</v>
      </c>
      <c r="J22" s="8">
        <v>10100</v>
      </c>
      <c r="K22" t="s">
        <v>34</v>
      </c>
      <c r="L22">
        <v>4</v>
      </c>
      <c r="M22">
        <v>2</v>
      </c>
      <c r="N22">
        <v>3</v>
      </c>
      <c r="O22" t="s">
        <v>21</v>
      </c>
      <c r="P22">
        <v>2011</v>
      </c>
    </row>
    <row r="23" spans="1:16" x14ac:dyDescent="0.3">
      <c r="A23">
        <v>1004</v>
      </c>
      <c r="B23" t="s">
        <v>73</v>
      </c>
      <c r="C23">
        <v>30</v>
      </c>
      <c r="D23" t="s">
        <v>17</v>
      </c>
      <c r="E23" t="s">
        <v>18</v>
      </c>
      <c r="F23" t="s">
        <v>67</v>
      </c>
      <c r="G23" s="1">
        <v>43997</v>
      </c>
      <c r="J23" s="8">
        <v>3200</v>
      </c>
      <c r="K23" t="s">
        <v>74</v>
      </c>
      <c r="L23">
        <v>3</v>
      </c>
      <c r="M23">
        <v>0</v>
      </c>
      <c r="N23">
        <v>2</v>
      </c>
      <c r="O23" t="s">
        <v>75</v>
      </c>
      <c r="P23">
        <v>2020</v>
      </c>
    </row>
    <row r="24" spans="1:16" x14ac:dyDescent="0.3">
      <c r="A24">
        <v>1005</v>
      </c>
      <c r="B24" t="s">
        <v>76</v>
      </c>
      <c r="C24">
        <v>38</v>
      </c>
      <c r="D24" t="s">
        <v>77</v>
      </c>
      <c r="E24" t="s">
        <v>78</v>
      </c>
      <c r="F24" t="s">
        <v>67</v>
      </c>
      <c r="G24" s="1">
        <v>42107</v>
      </c>
      <c r="J24" s="8">
        <v>8400</v>
      </c>
      <c r="K24" t="s">
        <v>20</v>
      </c>
      <c r="L24">
        <v>4</v>
      </c>
      <c r="M24">
        <v>3</v>
      </c>
      <c r="N24">
        <v>2</v>
      </c>
      <c r="O24" t="s">
        <v>43</v>
      </c>
      <c r="P24">
        <v>2015</v>
      </c>
    </row>
    <row r="25" spans="1:16" x14ac:dyDescent="0.3">
      <c r="A25">
        <v>1006</v>
      </c>
      <c r="B25" t="s">
        <v>79</v>
      </c>
      <c r="C25">
        <v>34</v>
      </c>
      <c r="D25" t="s">
        <v>17</v>
      </c>
      <c r="E25" t="s">
        <v>80</v>
      </c>
      <c r="F25" t="s">
        <v>67</v>
      </c>
      <c r="G25" s="1">
        <v>42912</v>
      </c>
      <c r="J25" s="8">
        <v>4600</v>
      </c>
      <c r="K25" t="s">
        <v>20</v>
      </c>
      <c r="L25">
        <v>4</v>
      </c>
      <c r="M25">
        <v>2</v>
      </c>
      <c r="N25">
        <v>2</v>
      </c>
      <c r="O25" t="s">
        <v>75</v>
      </c>
      <c r="P25">
        <v>2017</v>
      </c>
    </row>
    <row r="26" spans="1:16" x14ac:dyDescent="0.3">
      <c r="A26">
        <v>1007</v>
      </c>
      <c r="B26" t="s">
        <v>81</v>
      </c>
      <c r="C26">
        <v>45</v>
      </c>
      <c r="D26" t="s">
        <v>82</v>
      </c>
      <c r="E26" t="s">
        <v>83</v>
      </c>
      <c r="F26" t="s">
        <v>67</v>
      </c>
      <c r="G26" s="1">
        <v>42331</v>
      </c>
      <c r="J26" s="8">
        <v>11500</v>
      </c>
      <c r="K26" t="s">
        <v>20</v>
      </c>
      <c r="L26">
        <v>4</v>
      </c>
      <c r="M26">
        <v>4</v>
      </c>
      <c r="N26">
        <v>1</v>
      </c>
      <c r="O26" t="s">
        <v>84</v>
      </c>
      <c r="P26">
        <v>2015</v>
      </c>
    </row>
    <row r="27" spans="1:16" x14ac:dyDescent="0.3">
      <c r="A27">
        <v>1008</v>
      </c>
      <c r="B27" t="s">
        <v>85</v>
      </c>
      <c r="C27">
        <v>29</v>
      </c>
      <c r="D27" t="s">
        <v>26</v>
      </c>
      <c r="E27" t="s">
        <v>40</v>
      </c>
      <c r="F27" t="s">
        <v>67</v>
      </c>
      <c r="G27" s="1">
        <v>44095</v>
      </c>
      <c r="J27" s="8">
        <v>4500</v>
      </c>
      <c r="K27" t="s">
        <v>74</v>
      </c>
      <c r="L27">
        <v>3</v>
      </c>
      <c r="M27">
        <v>0</v>
      </c>
      <c r="N27">
        <v>4</v>
      </c>
      <c r="O27" t="s">
        <v>38</v>
      </c>
      <c r="P27">
        <v>2020</v>
      </c>
    </row>
    <row r="28" spans="1:16" x14ac:dyDescent="0.3">
      <c r="A28">
        <v>1009</v>
      </c>
      <c r="B28" t="s">
        <v>86</v>
      </c>
      <c r="C28">
        <v>30</v>
      </c>
      <c r="D28" t="s">
        <v>17</v>
      </c>
      <c r="E28" t="s">
        <v>87</v>
      </c>
      <c r="F28" t="s">
        <v>67</v>
      </c>
      <c r="G28" s="1">
        <v>43864</v>
      </c>
      <c r="J28" s="8">
        <v>2700</v>
      </c>
      <c r="K28" t="s">
        <v>20</v>
      </c>
      <c r="L28">
        <v>3</v>
      </c>
      <c r="M28">
        <v>0</v>
      </c>
      <c r="N28">
        <v>2</v>
      </c>
      <c r="O28" t="s">
        <v>21</v>
      </c>
      <c r="P28">
        <v>2020</v>
      </c>
    </row>
    <row r="29" spans="1:16" x14ac:dyDescent="0.3">
      <c r="A29">
        <v>1010</v>
      </c>
      <c r="B29" t="s">
        <v>88</v>
      </c>
      <c r="C29">
        <v>41</v>
      </c>
      <c r="D29" t="s">
        <v>26</v>
      </c>
      <c r="E29" t="s">
        <v>89</v>
      </c>
      <c r="F29" t="s">
        <v>67</v>
      </c>
      <c r="G29" s="1">
        <v>41813</v>
      </c>
      <c r="J29" s="8">
        <v>8200</v>
      </c>
      <c r="K29" t="s">
        <v>34</v>
      </c>
      <c r="L29">
        <v>5</v>
      </c>
      <c r="M29">
        <v>0</v>
      </c>
      <c r="N29">
        <v>5</v>
      </c>
      <c r="O29" t="s">
        <v>75</v>
      </c>
      <c r="P29">
        <v>2014</v>
      </c>
    </row>
    <row r="30" spans="1:16" x14ac:dyDescent="0.3">
      <c r="A30">
        <v>1011</v>
      </c>
      <c r="B30" t="s">
        <v>90</v>
      </c>
      <c r="C30">
        <v>38</v>
      </c>
      <c r="D30" t="s">
        <v>65</v>
      </c>
      <c r="E30" t="s">
        <v>91</v>
      </c>
      <c r="F30" t="s">
        <v>67</v>
      </c>
      <c r="G30" s="1">
        <v>42142</v>
      </c>
      <c r="J30" s="8">
        <v>9200</v>
      </c>
      <c r="K30" t="s">
        <v>34</v>
      </c>
      <c r="L30">
        <v>4</v>
      </c>
      <c r="M30">
        <v>2</v>
      </c>
      <c r="N30">
        <v>3</v>
      </c>
      <c r="O30" t="s">
        <v>53</v>
      </c>
      <c r="P30">
        <v>2015</v>
      </c>
    </row>
    <row r="31" spans="1:16" x14ac:dyDescent="0.3">
      <c r="A31">
        <v>1012</v>
      </c>
      <c r="B31" t="s">
        <v>92</v>
      </c>
      <c r="C31">
        <v>35</v>
      </c>
      <c r="D31" t="s">
        <v>36</v>
      </c>
      <c r="E31" t="s">
        <v>93</v>
      </c>
      <c r="F31" t="s">
        <v>67</v>
      </c>
      <c r="G31" s="1">
        <v>43031</v>
      </c>
      <c r="J31" s="8">
        <v>8700</v>
      </c>
      <c r="K31" t="s">
        <v>34</v>
      </c>
      <c r="L31">
        <v>4</v>
      </c>
      <c r="M31">
        <v>1</v>
      </c>
      <c r="N31">
        <v>3</v>
      </c>
      <c r="O31" t="s">
        <v>47</v>
      </c>
      <c r="P31">
        <v>2017</v>
      </c>
    </row>
    <row r="32" spans="1:16" x14ac:dyDescent="0.3">
      <c r="A32">
        <v>1013</v>
      </c>
      <c r="B32" t="s">
        <v>94</v>
      </c>
      <c r="C32">
        <v>37</v>
      </c>
      <c r="D32" t="s">
        <v>95</v>
      </c>
      <c r="E32" t="s">
        <v>96</v>
      </c>
      <c r="F32" t="s">
        <v>67</v>
      </c>
      <c r="G32" s="1">
        <v>42317</v>
      </c>
      <c r="J32" s="8">
        <v>8300</v>
      </c>
      <c r="K32" t="s">
        <v>20</v>
      </c>
      <c r="L32">
        <v>4</v>
      </c>
      <c r="M32">
        <v>3</v>
      </c>
      <c r="N32">
        <v>2</v>
      </c>
      <c r="O32" t="s">
        <v>84</v>
      </c>
      <c r="P32">
        <v>2015</v>
      </c>
    </row>
    <row r="33" spans="1:16" x14ac:dyDescent="0.3">
      <c r="A33">
        <v>1014</v>
      </c>
      <c r="B33" t="s">
        <v>97</v>
      </c>
      <c r="C33">
        <v>39</v>
      </c>
      <c r="D33" t="s">
        <v>77</v>
      </c>
      <c r="E33" t="s">
        <v>98</v>
      </c>
      <c r="F33" t="s">
        <v>67</v>
      </c>
      <c r="G33" s="1">
        <v>41715</v>
      </c>
      <c r="J33" s="8">
        <v>7100</v>
      </c>
      <c r="K33" t="s">
        <v>20</v>
      </c>
      <c r="L33">
        <v>3</v>
      </c>
      <c r="M33">
        <v>4</v>
      </c>
      <c r="N33">
        <v>2</v>
      </c>
      <c r="O33" t="s">
        <v>41</v>
      </c>
      <c r="P33">
        <v>2014</v>
      </c>
    </row>
    <row r="34" spans="1:16" x14ac:dyDescent="0.3">
      <c r="A34">
        <v>1015</v>
      </c>
      <c r="B34" t="s">
        <v>99</v>
      </c>
      <c r="C34">
        <v>40</v>
      </c>
      <c r="D34" t="s">
        <v>100</v>
      </c>
      <c r="E34" t="s">
        <v>101</v>
      </c>
      <c r="F34" t="s">
        <v>67</v>
      </c>
      <c r="G34" s="1">
        <v>41659</v>
      </c>
      <c r="J34" s="8">
        <v>9800</v>
      </c>
      <c r="K34" t="s">
        <v>34</v>
      </c>
      <c r="L34">
        <v>4</v>
      </c>
      <c r="M34">
        <v>0</v>
      </c>
      <c r="N34">
        <v>2</v>
      </c>
      <c r="O34" t="s">
        <v>49</v>
      </c>
      <c r="P34">
        <v>2014</v>
      </c>
    </row>
    <row r="35" spans="1:16" x14ac:dyDescent="0.3">
      <c r="A35">
        <v>1016</v>
      </c>
      <c r="B35" t="s">
        <v>102</v>
      </c>
      <c r="C35">
        <v>45</v>
      </c>
      <c r="D35" t="s">
        <v>65</v>
      </c>
      <c r="E35" t="s">
        <v>103</v>
      </c>
      <c r="F35" t="s">
        <v>67</v>
      </c>
      <c r="G35" s="1">
        <v>41050</v>
      </c>
      <c r="H35">
        <v>45016</v>
      </c>
      <c r="I35" t="s">
        <v>104</v>
      </c>
      <c r="J35" s="8">
        <v>13500</v>
      </c>
      <c r="K35" t="s">
        <v>20</v>
      </c>
      <c r="L35">
        <v>4</v>
      </c>
      <c r="M35">
        <v>2</v>
      </c>
      <c r="N35">
        <v>2</v>
      </c>
      <c r="O35" t="s">
        <v>53</v>
      </c>
      <c r="P35">
        <v>2012</v>
      </c>
    </row>
    <row r="36" spans="1:16" x14ac:dyDescent="0.3">
      <c r="A36">
        <v>1017</v>
      </c>
      <c r="B36" t="s">
        <v>105</v>
      </c>
      <c r="C36">
        <v>31</v>
      </c>
      <c r="D36" t="s">
        <v>82</v>
      </c>
      <c r="E36" t="s">
        <v>106</v>
      </c>
      <c r="F36" t="s">
        <v>67</v>
      </c>
      <c r="G36" s="1">
        <v>43129</v>
      </c>
      <c r="J36" s="8">
        <v>7900</v>
      </c>
      <c r="K36" t="s">
        <v>20</v>
      </c>
      <c r="L36">
        <v>3</v>
      </c>
      <c r="M36">
        <v>3</v>
      </c>
      <c r="N36">
        <v>2</v>
      </c>
      <c r="O36" t="s">
        <v>49</v>
      </c>
      <c r="P36">
        <v>2018</v>
      </c>
    </row>
    <row r="37" spans="1:16" x14ac:dyDescent="0.3">
      <c r="A37">
        <v>1018</v>
      </c>
      <c r="B37" t="s">
        <v>107</v>
      </c>
      <c r="C37">
        <v>28</v>
      </c>
      <c r="D37" t="s">
        <v>23</v>
      </c>
      <c r="E37" t="s">
        <v>108</v>
      </c>
      <c r="F37" t="s">
        <v>67</v>
      </c>
      <c r="G37" s="1">
        <v>44270</v>
      </c>
      <c r="J37" s="8">
        <v>6800</v>
      </c>
      <c r="K37" t="s">
        <v>34</v>
      </c>
      <c r="L37">
        <v>4</v>
      </c>
      <c r="M37">
        <v>0</v>
      </c>
      <c r="N37">
        <v>3</v>
      </c>
      <c r="O37" t="s">
        <v>41</v>
      </c>
      <c r="P37">
        <v>2021</v>
      </c>
    </row>
    <row r="38" spans="1:16" x14ac:dyDescent="0.3">
      <c r="A38">
        <v>1019</v>
      </c>
      <c r="B38" t="s">
        <v>109</v>
      </c>
      <c r="C38">
        <v>33</v>
      </c>
      <c r="D38" t="s">
        <v>69</v>
      </c>
      <c r="E38" t="s">
        <v>110</v>
      </c>
      <c r="F38" t="s">
        <v>67</v>
      </c>
      <c r="G38" s="1">
        <v>43773</v>
      </c>
      <c r="J38" s="8">
        <v>4800</v>
      </c>
      <c r="K38" t="s">
        <v>34</v>
      </c>
      <c r="L38">
        <v>4</v>
      </c>
      <c r="M38">
        <v>0</v>
      </c>
      <c r="N38">
        <v>5</v>
      </c>
      <c r="O38" t="s">
        <v>84</v>
      </c>
      <c r="P38">
        <v>2019</v>
      </c>
    </row>
    <row r="39" spans="1:16" x14ac:dyDescent="0.3">
      <c r="A39">
        <v>1021</v>
      </c>
      <c r="B39" t="s">
        <v>111</v>
      </c>
      <c r="C39">
        <v>40</v>
      </c>
      <c r="D39" t="s">
        <v>95</v>
      </c>
      <c r="E39" t="s">
        <v>112</v>
      </c>
      <c r="F39" t="s">
        <v>67</v>
      </c>
      <c r="G39" s="1">
        <v>41764</v>
      </c>
      <c r="J39" s="8">
        <v>6400</v>
      </c>
      <c r="K39" t="s">
        <v>20</v>
      </c>
      <c r="L39">
        <v>3</v>
      </c>
      <c r="M39">
        <v>4</v>
      </c>
      <c r="N39">
        <v>1</v>
      </c>
      <c r="O39" t="s">
        <v>53</v>
      </c>
      <c r="P39">
        <v>2014</v>
      </c>
    </row>
    <row r="40" spans="1:16" x14ac:dyDescent="0.3">
      <c r="A40">
        <v>1022</v>
      </c>
      <c r="B40" t="s">
        <v>113</v>
      </c>
      <c r="C40">
        <v>41</v>
      </c>
      <c r="D40" t="s">
        <v>82</v>
      </c>
      <c r="E40" t="s">
        <v>114</v>
      </c>
      <c r="F40" t="s">
        <v>67</v>
      </c>
      <c r="G40" s="1">
        <v>42016</v>
      </c>
      <c r="J40" s="8">
        <v>6200</v>
      </c>
      <c r="K40" t="s">
        <v>34</v>
      </c>
      <c r="L40">
        <v>3</v>
      </c>
      <c r="M40">
        <v>4</v>
      </c>
      <c r="N40">
        <v>2</v>
      </c>
      <c r="O40" t="s">
        <v>49</v>
      </c>
      <c r="P40">
        <v>2015</v>
      </c>
    </row>
    <row r="41" spans="1:16" x14ac:dyDescent="0.3">
      <c r="A41">
        <v>1023</v>
      </c>
      <c r="B41" t="s">
        <v>115</v>
      </c>
      <c r="C41">
        <v>50</v>
      </c>
      <c r="D41" t="s">
        <v>82</v>
      </c>
      <c r="E41" t="s">
        <v>116</v>
      </c>
      <c r="F41" t="s">
        <v>67</v>
      </c>
      <c r="G41" s="1">
        <v>40105</v>
      </c>
      <c r="J41" s="8">
        <v>23000</v>
      </c>
      <c r="K41" t="s">
        <v>34</v>
      </c>
      <c r="L41">
        <v>5</v>
      </c>
      <c r="M41">
        <v>1</v>
      </c>
      <c r="N41">
        <v>1</v>
      </c>
      <c r="O41" t="s">
        <v>47</v>
      </c>
      <c r="P41">
        <v>2009</v>
      </c>
    </row>
    <row r="42" spans="1:16" x14ac:dyDescent="0.3">
      <c r="A42">
        <v>1024</v>
      </c>
      <c r="B42" t="s">
        <v>117</v>
      </c>
      <c r="C42">
        <v>29</v>
      </c>
      <c r="D42" t="s">
        <v>17</v>
      </c>
      <c r="E42" t="s">
        <v>18</v>
      </c>
      <c r="F42" t="s">
        <v>67</v>
      </c>
      <c r="G42" s="1">
        <v>43843</v>
      </c>
      <c r="J42" s="8">
        <v>3200</v>
      </c>
      <c r="K42" t="s">
        <v>74</v>
      </c>
      <c r="L42">
        <v>3</v>
      </c>
      <c r="M42">
        <v>0</v>
      </c>
      <c r="N42">
        <v>2</v>
      </c>
      <c r="O42" t="s">
        <v>49</v>
      </c>
      <c r="P42">
        <v>2020</v>
      </c>
    </row>
    <row r="43" spans="1:16" x14ac:dyDescent="0.3">
      <c r="A43">
        <v>1025</v>
      </c>
      <c r="B43" t="s">
        <v>118</v>
      </c>
      <c r="C43">
        <v>46</v>
      </c>
      <c r="D43" t="s">
        <v>82</v>
      </c>
      <c r="E43" t="s">
        <v>83</v>
      </c>
      <c r="F43" t="s">
        <v>67</v>
      </c>
      <c r="G43" s="1">
        <v>40441</v>
      </c>
      <c r="J43" s="8">
        <v>14000</v>
      </c>
      <c r="K43" t="s">
        <v>34</v>
      </c>
      <c r="L43">
        <v>4</v>
      </c>
      <c r="M43">
        <v>4</v>
      </c>
      <c r="N43">
        <v>1</v>
      </c>
      <c r="O43" t="s">
        <v>38</v>
      </c>
      <c r="P43">
        <v>2010</v>
      </c>
    </row>
    <row r="44" spans="1:16" x14ac:dyDescent="0.3">
      <c r="A44">
        <v>1027</v>
      </c>
      <c r="B44" t="s">
        <v>119</v>
      </c>
      <c r="C44">
        <v>27</v>
      </c>
      <c r="D44" t="s">
        <v>31</v>
      </c>
      <c r="E44" t="s">
        <v>120</v>
      </c>
      <c r="F44" t="s">
        <v>67</v>
      </c>
      <c r="G44" s="1">
        <v>44284</v>
      </c>
      <c r="J44" s="8">
        <v>4100</v>
      </c>
      <c r="K44" t="s">
        <v>74</v>
      </c>
      <c r="L44">
        <v>3</v>
      </c>
      <c r="M44">
        <v>1</v>
      </c>
      <c r="N44">
        <v>2</v>
      </c>
      <c r="O44" t="s">
        <v>41</v>
      </c>
      <c r="P44">
        <v>2021</v>
      </c>
    </row>
    <row r="45" spans="1:16" x14ac:dyDescent="0.3">
      <c r="A45">
        <v>1028</v>
      </c>
      <c r="B45" t="s">
        <v>121</v>
      </c>
      <c r="C45">
        <v>29</v>
      </c>
      <c r="D45" t="s">
        <v>69</v>
      </c>
      <c r="E45" t="s">
        <v>110</v>
      </c>
      <c r="F45" t="s">
        <v>67</v>
      </c>
      <c r="G45" s="1">
        <v>43514</v>
      </c>
      <c r="J45" s="8">
        <v>4500</v>
      </c>
      <c r="K45" t="s">
        <v>34</v>
      </c>
      <c r="L45">
        <v>3</v>
      </c>
      <c r="M45">
        <v>1</v>
      </c>
      <c r="N45">
        <v>3</v>
      </c>
      <c r="O45" t="s">
        <v>21</v>
      </c>
      <c r="P45">
        <v>2019</v>
      </c>
    </row>
    <row r="46" spans="1:16" x14ac:dyDescent="0.3">
      <c r="A46">
        <v>1029</v>
      </c>
      <c r="B46" t="s">
        <v>122</v>
      </c>
      <c r="C46">
        <v>29</v>
      </c>
      <c r="D46" t="s">
        <v>65</v>
      </c>
      <c r="E46" t="s">
        <v>123</v>
      </c>
      <c r="F46" t="s">
        <v>67</v>
      </c>
      <c r="G46" s="1">
        <v>44270</v>
      </c>
      <c r="J46" s="8">
        <v>5200</v>
      </c>
      <c r="K46" t="s">
        <v>20</v>
      </c>
      <c r="L46">
        <v>4</v>
      </c>
      <c r="M46">
        <v>2</v>
      </c>
      <c r="N46">
        <v>3</v>
      </c>
      <c r="O46" t="s">
        <v>41</v>
      </c>
      <c r="P46">
        <v>2021</v>
      </c>
    </row>
    <row r="47" spans="1:16" x14ac:dyDescent="0.3">
      <c r="A47">
        <v>1030</v>
      </c>
      <c r="B47" t="s">
        <v>124</v>
      </c>
      <c r="C47">
        <v>39</v>
      </c>
      <c r="D47" t="s">
        <v>95</v>
      </c>
      <c r="E47" t="s">
        <v>112</v>
      </c>
      <c r="F47" t="s">
        <v>67</v>
      </c>
      <c r="G47" s="1">
        <v>41946</v>
      </c>
      <c r="J47" s="8">
        <v>6500</v>
      </c>
      <c r="K47" t="s">
        <v>20</v>
      </c>
      <c r="L47">
        <v>3</v>
      </c>
      <c r="M47">
        <v>4</v>
      </c>
      <c r="N47">
        <v>1</v>
      </c>
      <c r="O47" t="s">
        <v>84</v>
      </c>
      <c r="P47">
        <v>2014</v>
      </c>
    </row>
    <row r="48" spans="1:16" x14ac:dyDescent="0.3">
      <c r="A48">
        <v>1031</v>
      </c>
      <c r="B48" t="s">
        <v>125</v>
      </c>
      <c r="C48">
        <v>44</v>
      </c>
      <c r="D48" t="s">
        <v>82</v>
      </c>
      <c r="E48" t="s">
        <v>83</v>
      </c>
      <c r="F48" t="s">
        <v>67</v>
      </c>
      <c r="G48" s="1">
        <v>41421</v>
      </c>
      <c r="J48" s="8">
        <v>14000</v>
      </c>
      <c r="K48" t="s">
        <v>34</v>
      </c>
      <c r="L48">
        <v>4</v>
      </c>
      <c r="M48">
        <v>3</v>
      </c>
      <c r="N48">
        <v>1</v>
      </c>
      <c r="O48" t="s">
        <v>53</v>
      </c>
      <c r="P48">
        <v>2013</v>
      </c>
    </row>
    <row r="49" spans="1:16" x14ac:dyDescent="0.3">
      <c r="A49">
        <v>1032</v>
      </c>
      <c r="B49" t="s">
        <v>126</v>
      </c>
      <c r="C49">
        <v>39</v>
      </c>
      <c r="D49" t="s">
        <v>77</v>
      </c>
      <c r="E49" t="s">
        <v>98</v>
      </c>
      <c r="F49" t="s">
        <v>67</v>
      </c>
      <c r="G49" s="1">
        <v>42275</v>
      </c>
      <c r="J49" s="8">
        <v>7200</v>
      </c>
      <c r="K49" t="s">
        <v>20</v>
      </c>
      <c r="L49">
        <v>3</v>
      </c>
      <c r="M49">
        <v>4</v>
      </c>
      <c r="N49">
        <v>2</v>
      </c>
      <c r="O49" t="s">
        <v>38</v>
      </c>
      <c r="P49">
        <v>2015</v>
      </c>
    </row>
    <row r="50" spans="1:16" x14ac:dyDescent="0.3">
      <c r="A50">
        <v>1033</v>
      </c>
      <c r="B50" t="s">
        <v>127</v>
      </c>
      <c r="C50">
        <v>32</v>
      </c>
      <c r="D50" t="s">
        <v>65</v>
      </c>
      <c r="E50" t="s">
        <v>128</v>
      </c>
      <c r="F50" t="s">
        <v>67</v>
      </c>
      <c r="G50" s="1">
        <v>43430</v>
      </c>
      <c r="J50" s="8">
        <v>5600</v>
      </c>
      <c r="K50" t="s">
        <v>20</v>
      </c>
      <c r="L50">
        <v>3</v>
      </c>
      <c r="M50">
        <v>1</v>
      </c>
      <c r="N50">
        <v>3</v>
      </c>
      <c r="O50" t="s">
        <v>84</v>
      </c>
      <c r="P50">
        <v>2018</v>
      </c>
    </row>
    <row r="51" spans="1:16" x14ac:dyDescent="0.3">
      <c r="A51">
        <v>1034</v>
      </c>
      <c r="B51" t="s">
        <v>129</v>
      </c>
      <c r="C51">
        <v>39</v>
      </c>
      <c r="D51" t="s">
        <v>100</v>
      </c>
      <c r="E51" t="s">
        <v>130</v>
      </c>
      <c r="F51" t="s">
        <v>67</v>
      </c>
      <c r="G51" s="1">
        <v>41372</v>
      </c>
      <c r="J51" s="8">
        <v>11500</v>
      </c>
      <c r="K51" t="s">
        <v>34</v>
      </c>
      <c r="L51">
        <v>4</v>
      </c>
      <c r="M51">
        <v>0</v>
      </c>
      <c r="N51">
        <v>2</v>
      </c>
      <c r="O51" t="s">
        <v>43</v>
      </c>
      <c r="P51">
        <v>2013</v>
      </c>
    </row>
    <row r="52" spans="1:16" x14ac:dyDescent="0.3">
      <c r="A52">
        <v>1036</v>
      </c>
      <c r="B52" t="s">
        <v>131</v>
      </c>
      <c r="C52">
        <v>31</v>
      </c>
      <c r="D52" t="s">
        <v>69</v>
      </c>
      <c r="E52" t="s">
        <v>110</v>
      </c>
      <c r="F52" t="s">
        <v>67</v>
      </c>
      <c r="G52" s="1">
        <v>43773</v>
      </c>
      <c r="J52" s="8">
        <v>5400</v>
      </c>
      <c r="K52" t="s">
        <v>34</v>
      </c>
      <c r="L52">
        <v>5</v>
      </c>
      <c r="M52">
        <v>0</v>
      </c>
      <c r="N52">
        <v>4</v>
      </c>
      <c r="O52" t="s">
        <v>84</v>
      </c>
      <c r="P52">
        <v>2019</v>
      </c>
    </row>
    <row r="53" spans="1:16" x14ac:dyDescent="0.3">
      <c r="A53">
        <v>1037</v>
      </c>
      <c r="B53" t="s">
        <v>132</v>
      </c>
      <c r="C53">
        <v>32</v>
      </c>
      <c r="D53" t="s">
        <v>17</v>
      </c>
      <c r="E53" t="s">
        <v>80</v>
      </c>
      <c r="F53" t="s">
        <v>67</v>
      </c>
      <c r="G53" s="1">
        <v>43423</v>
      </c>
      <c r="J53" s="8">
        <v>4600</v>
      </c>
      <c r="K53" t="s">
        <v>20</v>
      </c>
      <c r="L53">
        <v>4</v>
      </c>
      <c r="M53">
        <v>2</v>
      </c>
      <c r="N53">
        <v>2</v>
      </c>
      <c r="O53" t="s">
        <v>84</v>
      </c>
      <c r="P53">
        <v>2018</v>
      </c>
    </row>
    <row r="54" spans="1:16" x14ac:dyDescent="0.3">
      <c r="A54">
        <v>1038</v>
      </c>
      <c r="B54" t="s">
        <v>133</v>
      </c>
      <c r="C54">
        <v>30</v>
      </c>
      <c r="D54" t="s">
        <v>69</v>
      </c>
      <c r="E54" t="s">
        <v>110</v>
      </c>
      <c r="F54" t="s">
        <v>67</v>
      </c>
      <c r="G54" s="1">
        <v>43773</v>
      </c>
      <c r="J54" s="8">
        <v>4600</v>
      </c>
      <c r="K54" t="s">
        <v>34</v>
      </c>
      <c r="L54">
        <v>3</v>
      </c>
      <c r="M54">
        <v>1</v>
      </c>
      <c r="N54">
        <v>3</v>
      </c>
      <c r="O54" t="s">
        <v>84</v>
      </c>
      <c r="P54">
        <v>2019</v>
      </c>
    </row>
    <row r="55" spans="1:16" x14ac:dyDescent="0.3">
      <c r="A55">
        <v>1039</v>
      </c>
      <c r="B55" t="s">
        <v>134</v>
      </c>
      <c r="C55">
        <v>47</v>
      </c>
      <c r="D55" t="s">
        <v>82</v>
      </c>
      <c r="E55" t="s">
        <v>106</v>
      </c>
      <c r="F55" t="s">
        <v>67</v>
      </c>
      <c r="G55" s="1">
        <v>40882</v>
      </c>
      <c r="H55">
        <v>44957</v>
      </c>
      <c r="I55" t="s">
        <v>135</v>
      </c>
      <c r="J55" s="8">
        <v>9200</v>
      </c>
      <c r="K55" t="s">
        <v>20</v>
      </c>
      <c r="L55">
        <v>4</v>
      </c>
      <c r="M55">
        <v>2</v>
      </c>
      <c r="N55">
        <v>1</v>
      </c>
      <c r="O55" t="s">
        <v>136</v>
      </c>
      <c r="P55">
        <v>2011</v>
      </c>
    </row>
    <row r="56" spans="1:16" x14ac:dyDescent="0.3">
      <c r="A56">
        <v>1040</v>
      </c>
      <c r="B56" t="s">
        <v>137</v>
      </c>
      <c r="C56">
        <v>31</v>
      </c>
      <c r="D56" t="s">
        <v>23</v>
      </c>
      <c r="E56" t="s">
        <v>108</v>
      </c>
      <c r="F56" t="s">
        <v>67</v>
      </c>
      <c r="G56" s="1">
        <v>43534</v>
      </c>
      <c r="J56" s="8">
        <v>6800</v>
      </c>
      <c r="K56" t="s">
        <v>34</v>
      </c>
      <c r="L56">
        <v>4</v>
      </c>
      <c r="M56">
        <v>0</v>
      </c>
      <c r="N56">
        <v>3</v>
      </c>
      <c r="O56" t="s">
        <v>41</v>
      </c>
      <c r="P56">
        <v>2019</v>
      </c>
    </row>
    <row r="57" spans="1:16" x14ac:dyDescent="0.3">
      <c r="A57">
        <v>1041</v>
      </c>
      <c r="B57" t="s">
        <v>138</v>
      </c>
      <c r="C57">
        <v>45</v>
      </c>
      <c r="D57" t="s">
        <v>95</v>
      </c>
      <c r="E57" t="s">
        <v>139</v>
      </c>
      <c r="F57" t="s">
        <v>67</v>
      </c>
      <c r="G57" s="1">
        <v>40924</v>
      </c>
      <c r="J57" s="8">
        <v>13800</v>
      </c>
      <c r="K57" t="s">
        <v>20</v>
      </c>
      <c r="L57">
        <v>4</v>
      </c>
      <c r="M57">
        <v>3</v>
      </c>
      <c r="N57">
        <v>1</v>
      </c>
      <c r="O57" t="s">
        <v>49</v>
      </c>
      <c r="P57">
        <v>2012</v>
      </c>
    </row>
    <row r="58" spans="1:16" x14ac:dyDescent="0.3">
      <c r="A58">
        <v>1042</v>
      </c>
      <c r="B58" t="s">
        <v>140</v>
      </c>
      <c r="C58">
        <v>34</v>
      </c>
      <c r="D58" t="s">
        <v>82</v>
      </c>
      <c r="E58" t="s">
        <v>141</v>
      </c>
      <c r="F58" t="s">
        <v>67</v>
      </c>
      <c r="G58" s="1">
        <v>43003</v>
      </c>
      <c r="J58" s="8">
        <v>7000</v>
      </c>
      <c r="K58" t="s">
        <v>20</v>
      </c>
      <c r="L58">
        <v>3</v>
      </c>
      <c r="M58">
        <v>3</v>
      </c>
      <c r="N58">
        <v>2</v>
      </c>
      <c r="O58" t="s">
        <v>38</v>
      </c>
      <c r="P58">
        <v>2017</v>
      </c>
    </row>
    <row r="59" spans="1:16" x14ac:dyDescent="0.3">
      <c r="A59">
        <v>1043</v>
      </c>
      <c r="B59" t="s">
        <v>142</v>
      </c>
      <c r="C59">
        <v>29</v>
      </c>
      <c r="D59" t="s">
        <v>26</v>
      </c>
      <c r="E59" t="s">
        <v>40</v>
      </c>
      <c r="F59" t="s">
        <v>67</v>
      </c>
      <c r="G59" s="1">
        <v>44389</v>
      </c>
      <c r="J59" s="8">
        <v>4600</v>
      </c>
      <c r="K59" t="s">
        <v>74</v>
      </c>
      <c r="L59">
        <v>3</v>
      </c>
      <c r="M59">
        <v>2</v>
      </c>
      <c r="N59">
        <v>4</v>
      </c>
      <c r="O59" t="s">
        <v>57</v>
      </c>
      <c r="P59">
        <v>2021</v>
      </c>
    </row>
    <row r="60" spans="1:16" x14ac:dyDescent="0.3">
      <c r="A60">
        <v>1044</v>
      </c>
      <c r="B60" t="s">
        <v>143</v>
      </c>
      <c r="C60">
        <v>29</v>
      </c>
      <c r="D60" t="s">
        <v>69</v>
      </c>
      <c r="E60" t="s">
        <v>144</v>
      </c>
      <c r="F60" t="s">
        <v>67</v>
      </c>
      <c r="G60" s="1">
        <v>43850</v>
      </c>
      <c r="J60" s="8">
        <v>3900</v>
      </c>
      <c r="K60" t="s">
        <v>20</v>
      </c>
      <c r="L60">
        <v>3</v>
      </c>
      <c r="M60">
        <v>1</v>
      </c>
      <c r="N60">
        <v>3</v>
      </c>
      <c r="O60" t="s">
        <v>49</v>
      </c>
      <c r="P60">
        <v>2020</v>
      </c>
    </row>
    <row r="61" spans="1:16" x14ac:dyDescent="0.3">
      <c r="A61">
        <v>1045</v>
      </c>
      <c r="B61" t="s">
        <v>145</v>
      </c>
      <c r="C61">
        <v>31</v>
      </c>
      <c r="D61" t="s">
        <v>23</v>
      </c>
      <c r="E61" t="s">
        <v>108</v>
      </c>
      <c r="F61" t="s">
        <v>67</v>
      </c>
      <c r="G61" s="1">
        <v>43472</v>
      </c>
      <c r="J61" s="8">
        <v>6900</v>
      </c>
      <c r="K61" t="s">
        <v>34</v>
      </c>
      <c r="L61">
        <v>4</v>
      </c>
      <c r="M61">
        <v>0</v>
      </c>
      <c r="N61">
        <v>3</v>
      </c>
      <c r="O61" t="s">
        <v>49</v>
      </c>
      <c r="P61">
        <v>2019</v>
      </c>
    </row>
    <row r="62" spans="1:16" x14ac:dyDescent="0.3">
      <c r="A62">
        <v>1046</v>
      </c>
      <c r="B62" t="s">
        <v>146</v>
      </c>
      <c r="C62">
        <v>26</v>
      </c>
      <c r="D62" t="s">
        <v>36</v>
      </c>
      <c r="E62" t="s">
        <v>147</v>
      </c>
      <c r="F62" t="s">
        <v>67</v>
      </c>
      <c r="G62" s="1">
        <v>44585</v>
      </c>
      <c r="J62" s="8">
        <v>5200</v>
      </c>
      <c r="K62" t="s">
        <v>34</v>
      </c>
      <c r="L62">
        <v>4</v>
      </c>
      <c r="M62">
        <v>1</v>
      </c>
      <c r="N62">
        <v>3</v>
      </c>
      <c r="O62" t="s">
        <v>49</v>
      </c>
      <c r="P62">
        <v>2022</v>
      </c>
    </row>
    <row r="63" spans="1:16" x14ac:dyDescent="0.3">
      <c r="A63">
        <v>1048</v>
      </c>
      <c r="B63" t="s">
        <v>148</v>
      </c>
      <c r="C63">
        <v>42</v>
      </c>
      <c r="D63" t="s">
        <v>82</v>
      </c>
      <c r="E63" t="s">
        <v>141</v>
      </c>
      <c r="F63" t="s">
        <v>67</v>
      </c>
      <c r="G63" s="1">
        <v>42101</v>
      </c>
      <c r="J63" s="8">
        <v>7100</v>
      </c>
      <c r="K63" t="s">
        <v>20</v>
      </c>
      <c r="L63">
        <v>3</v>
      </c>
      <c r="M63">
        <v>5</v>
      </c>
      <c r="N63">
        <v>1</v>
      </c>
      <c r="O63" t="s">
        <v>43</v>
      </c>
      <c r="P63">
        <v>2015</v>
      </c>
    </row>
    <row r="64" spans="1:16" x14ac:dyDescent="0.3">
      <c r="A64">
        <v>1049</v>
      </c>
      <c r="B64" t="s">
        <v>149</v>
      </c>
      <c r="C64">
        <v>45</v>
      </c>
      <c r="D64" t="s">
        <v>31</v>
      </c>
      <c r="E64" t="s">
        <v>150</v>
      </c>
      <c r="F64" t="s">
        <v>67</v>
      </c>
      <c r="G64" s="1">
        <v>40259</v>
      </c>
      <c r="J64" s="8">
        <v>15200</v>
      </c>
      <c r="K64" t="s">
        <v>34</v>
      </c>
      <c r="L64">
        <v>4</v>
      </c>
      <c r="M64">
        <v>2</v>
      </c>
      <c r="N64">
        <v>2</v>
      </c>
      <c r="O64" t="s">
        <v>41</v>
      </c>
      <c r="P64">
        <v>2010</v>
      </c>
    </row>
    <row r="65" spans="1:16" x14ac:dyDescent="0.3">
      <c r="A65">
        <v>1050</v>
      </c>
      <c r="B65" t="s">
        <v>151</v>
      </c>
      <c r="C65">
        <v>23</v>
      </c>
      <c r="D65" t="s">
        <v>17</v>
      </c>
      <c r="E65" t="s">
        <v>87</v>
      </c>
      <c r="F65" t="s">
        <v>67</v>
      </c>
      <c r="G65" s="1">
        <v>45048</v>
      </c>
      <c r="J65" s="8">
        <v>2600</v>
      </c>
      <c r="K65" t="s">
        <v>20</v>
      </c>
      <c r="L65">
        <v>3</v>
      </c>
      <c r="M65">
        <v>0</v>
      </c>
      <c r="N65">
        <v>2</v>
      </c>
      <c r="O65" t="s">
        <v>53</v>
      </c>
      <c r="P65">
        <v>2023</v>
      </c>
    </row>
    <row r="66" spans="1:16" x14ac:dyDescent="0.3">
      <c r="A66">
        <v>1051</v>
      </c>
      <c r="B66" t="s">
        <v>152</v>
      </c>
      <c r="C66">
        <v>29</v>
      </c>
      <c r="D66" t="s">
        <v>26</v>
      </c>
      <c r="E66" t="s">
        <v>27</v>
      </c>
      <c r="F66" t="s">
        <v>67</v>
      </c>
      <c r="G66" s="1">
        <v>44319</v>
      </c>
      <c r="J66" s="8">
        <v>4700</v>
      </c>
      <c r="K66" t="s">
        <v>34</v>
      </c>
      <c r="L66">
        <v>4</v>
      </c>
      <c r="M66">
        <v>1</v>
      </c>
      <c r="N66">
        <v>3</v>
      </c>
      <c r="O66" t="s">
        <v>53</v>
      </c>
      <c r="P66">
        <v>2021</v>
      </c>
    </row>
    <row r="67" spans="1:16" x14ac:dyDescent="0.3">
      <c r="A67">
        <v>1052</v>
      </c>
      <c r="B67" t="s">
        <v>153</v>
      </c>
      <c r="C67">
        <v>43</v>
      </c>
      <c r="D67" t="s">
        <v>100</v>
      </c>
      <c r="E67" t="s">
        <v>154</v>
      </c>
      <c r="F67" t="s">
        <v>67</v>
      </c>
      <c r="G67" s="1">
        <v>40966</v>
      </c>
      <c r="J67" s="8">
        <v>12500</v>
      </c>
      <c r="K67" t="s">
        <v>34</v>
      </c>
      <c r="L67">
        <v>4</v>
      </c>
      <c r="M67">
        <v>0</v>
      </c>
      <c r="N67">
        <v>2</v>
      </c>
      <c r="O67" t="s">
        <v>21</v>
      </c>
      <c r="P67">
        <v>2012</v>
      </c>
    </row>
    <row r="68" spans="1:16" x14ac:dyDescent="0.3">
      <c r="A68">
        <v>1054</v>
      </c>
      <c r="B68" t="s">
        <v>155</v>
      </c>
      <c r="C68">
        <v>32</v>
      </c>
      <c r="D68" t="s">
        <v>36</v>
      </c>
      <c r="E68" t="s">
        <v>156</v>
      </c>
      <c r="F68" t="s">
        <v>67</v>
      </c>
      <c r="G68" s="1">
        <v>43115</v>
      </c>
      <c r="J68" s="8">
        <v>6800</v>
      </c>
      <c r="K68" t="s">
        <v>34</v>
      </c>
      <c r="L68">
        <v>4</v>
      </c>
      <c r="M68">
        <v>0</v>
      </c>
      <c r="N68">
        <v>3</v>
      </c>
      <c r="O68" t="s">
        <v>49</v>
      </c>
      <c r="P68">
        <v>2018</v>
      </c>
    </row>
    <row r="69" spans="1:16" x14ac:dyDescent="0.3">
      <c r="A69">
        <v>1055</v>
      </c>
      <c r="B69" t="s">
        <v>157</v>
      </c>
      <c r="C69">
        <v>27</v>
      </c>
      <c r="D69" t="s">
        <v>31</v>
      </c>
      <c r="E69" t="s">
        <v>158</v>
      </c>
      <c r="F69" t="s">
        <v>67</v>
      </c>
      <c r="G69" s="1">
        <v>44452</v>
      </c>
      <c r="J69" s="8">
        <v>4300</v>
      </c>
      <c r="K69" t="s">
        <v>34</v>
      </c>
      <c r="L69">
        <v>3</v>
      </c>
      <c r="M69">
        <v>0</v>
      </c>
      <c r="N69">
        <v>3</v>
      </c>
      <c r="O69" t="s">
        <v>38</v>
      </c>
      <c r="P69">
        <v>2021</v>
      </c>
    </row>
    <row r="70" spans="1:16" x14ac:dyDescent="0.3">
      <c r="A70">
        <v>1056</v>
      </c>
      <c r="B70" t="s">
        <v>159</v>
      </c>
      <c r="C70">
        <v>36</v>
      </c>
      <c r="D70" t="s">
        <v>82</v>
      </c>
      <c r="E70" t="s">
        <v>114</v>
      </c>
      <c r="F70" t="s">
        <v>67</v>
      </c>
      <c r="G70" s="1">
        <v>42541</v>
      </c>
      <c r="J70" s="8">
        <v>6000</v>
      </c>
      <c r="K70" t="s">
        <v>34</v>
      </c>
      <c r="L70">
        <v>3</v>
      </c>
      <c r="M70">
        <v>2</v>
      </c>
      <c r="N70">
        <v>2</v>
      </c>
      <c r="O70" t="s">
        <v>75</v>
      </c>
      <c r="P70">
        <v>2016</v>
      </c>
    </row>
    <row r="71" spans="1:16" x14ac:dyDescent="0.3">
      <c r="A71">
        <v>1057</v>
      </c>
      <c r="B71" t="s">
        <v>160</v>
      </c>
      <c r="C71">
        <v>27</v>
      </c>
      <c r="D71" t="s">
        <v>17</v>
      </c>
      <c r="E71" t="s">
        <v>87</v>
      </c>
      <c r="F71" t="s">
        <v>67</v>
      </c>
      <c r="G71" s="1">
        <v>44473</v>
      </c>
      <c r="J71" s="8">
        <v>2700</v>
      </c>
      <c r="K71" t="s">
        <v>20</v>
      </c>
      <c r="L71">
        <v>3</v>
      </c>
      <c r="M71">
        <v>0</v>
      </c>
      <c r="N71">
        <v>2</v>
      </c>
      <c r="O71" t="s">
        <v>47</v>
      </c>
      <c r="P71">
        <v>2021</v>
      </c>
    </row>
    <row r="72" spans="1:16" x14ac:dyDescent="0.3">
      <c r="A72">
        <v>1058</v>
      </c>
      <c r="B72" t="s">
        <v>161</v>
      </c>
      <c r="C72">
        <v>45</v>
      </c>
      <c r="D72" t="s">
        <v>69</v>
      </c>
      <c r="E72" t="s">
        <v>162</v>
      </c>
      <c r="F72" t="s">
        <v>67</v>
      </c>
      <c r="G72" s="1">
        <v>41344</v>
      </c>
      <c r="J72" s="8">
        <v>7900</v>
      </c>
      <c r="K72" t="s">
        <v>34</v>
      </c>
      <c r="L72">
        <v>4</v>
      </c>
      <c r="M72">
        <v>2</v>
      </c>
      <c r="N72">
        <v>3</v>
      </c>
      <c r="O72" t="s">
        <v>41</v>
      </c>
      <c r="P72">
        <v>2013</v>
      </c>
    </row>
    <row r="73" spans="1:16" x14ac:dyDescent="0.3">
      <c r="A73">
        <v>1059</v>
      </c>
      <c r="B73" t="s">
        <v>163</v>
      </c>
      <c r="C73">
        <v>30</v>
      </c>
      <c r="D73" t="s">
        <v>17</v>
      </c>
      <c r="E73" t="s">
        <v>80</v>
      </c>
      <c r="F73" t="s">
        <v>67</v>
      </c>
      <c r="G73" s="1">
        <v>43521</v>
      </c>
      <c r="J73" s="8">
        <v>4600</v>
      </c>
      <c r="K73" t="s">
        <v>20</v>
      </c>
      <c r="L73">
        <v>4</v>
      </c>
      <c r="M73">
        <v>2</v>
      </c>
      <c r="N73">
        <v>2</v>
      </c>
      <c r="O73" t="s">
        <v>21</v>
      </c>
      <c r="P73">
        <v>2019</v>
      </c>
    </row>
    <row r="74" spans="1:16" x14ac:dyDescent="0.3">
      <c r="A74">
        <v>1060</v>
      </c>
      <c r="B74" t="s">
        <v>164</v>
      </c>
      <c r="C74">
        <v>46</v>
      </c>
      <c r="D74" t="s">
        <v>82</v>
      </c>
      <c r="E74" t="s">
        <v>83</v>
      </c>
      <c r="F74" t="s">
        <v>67</v>
      </c>
      <c r="G74" s="1">
        <v>40567</v>
      </c>
      <c r="H74">
        <v>44926</v>
      </c>
      <c r="I74" t="s">
        <v>135</v>
      </c>
      <c r="J74" s="8">
        <v>13800</v>
      </c>
      <c r="K74" t="s">
        <v>34</v>
      </c>
      <c r="L74">
        <v>4</v>
      </c>
      <c r="M74">
        <v>2</v>
      </c>
      <c r="N74">
        <v>1</v>
      </c>
      <c r="O74" t="s">
        <v>49</v>
      </c>
      <c r="P74">
        <v>2011</v>
      </c>
    </row>
    <row r="75" spans="1:16" x14ac:dyDescent="0.3">
      <c r="A75">
        <v>1061</v>
      </c>
      <c r="B75" t="s">
        <v>165</v>
      </c>
      <c r="C75">
        <v>26</v>
      </c>
      <c r="D75" t="s">
        <v>36</v>
      </c>
      <c r="E75" t="s">
        <v>147</v>
      </c>
      <c r="F75" t="s">
        <v>67</v>
      </c>
      <c r="G75" s="1">
        <v>44228</v>
      </c>
      <c r="J75" s="8">
        <v>4800</v>
      </c>
      <c r="K75" t="s">
        <v>34</v>
      </c>
      <c r="L75">
        <v>3</v>
      </c>
      <c r="M75">
        <v>0</v>
      </c>
      <c r="N75">
        <v>3</v>
      </c>
      <c r="O75" t="s">
        <v>21</v>
      </c>
      <c r="P75">
        <v>2021</v>
      </c>
    </row>
    <row r="76" spans="1:16" x14ac:dyDescent="0.3">
      <c r="A76">
        <v>1062</v>
      </c>
      <c r="B76" t="s">
        <v>166</v>
      </c>
      <c r="C76">
        <v>30</v>
      </c>
      <c r="D76" t="s">
        <v>17</v>
      </c>
      <c r="E76" t="s">
        <v>18</v>
      </c>
      <c r="F76" t="s">
        <v>67</v>
      </c>
      <c r="G76" s="1">
        <v>43913</v>
      </c>
      <c r="J76" s="8">
        <v>3200</v>
      </c>
      <c r="K76" t="s">
        <v>74</v>
      </c>
      <c r="L76">
        <v>3</v>
      </c>
      <c r="M76">
        <v>0</v>
      </c>
      <c r="N76">
        <v>3</v>
      </c>
      <c r="O76" t="s">
        <v>41</v>
      </c>
      <c r="P76">
        <v>2020</v>
      </c>
    </row>
    <row r="77" spans="1:16" x14ac:dyDescent="0.3">
      <c r="A77">
        <v>1063</v>
      </c>
      <c r="B77" t="s">
        <v>167</v>
      </c>
      <c r="C77">
        <v>33</v>
      </c>
      <c r="D77" t="s">
        <v>69</v>
      </c>
      <c r="E77" t="s">
        <v>110</v>
      </c>
      <c r="F77" t="s">
        <v>67</v>
      </c>
      <c r="G77" s="1">
        <v>43150</v>
      </c>
      <c r="J77" s="8">
        <v>4600</v>
      </c>
      <c r="K77" t="s">
        <v>34</v>
      </c>
      <c r="L77">
        <v>3</v>
      </c>
      <c r="M77">
        <v>1</v>
      </c>
      <c r="N77">
        <v>3</v>
      </c>
      <c r="O77" t="s">
        <v>21</v>
      </c>
      <c r="P77">
        <v>2018</v>
      </c>
    </row>
    <row r="78" spans="1:16" x14ac:dyDescent="0.3">
      <c r="A78">
        <v>1064</v>
      </c>
      <c r="B78" t="s">
        <v>168</v>
      </c>
      <c r="C78">
        <v>46</v>
      </c>
      <c r="D78" t="s">
        <v>69</v>
      </c>
      <c r="E78" t="s">
        <v>169</v>
      </c>
      <c r="F78" t="s">
        <v>67</v>
      </c>
      <c r="G78" s="1">
        <v>41302</v>
      </c>
      <c r="J78" s="8">
        <v>12000</v>
      </c>
      <c r="K78" t="s">
        <v>20</v>
      </c>
      <c r="L78">
        <v>4</v>
      </c>
      <c r="M78">
        <v>2</v>
      </c>
      <c r="N78">
        <v>2</v>
      </c>
      <c r="O78" t="s">
        <v>49</v>
      </c>
      <c r="P78">
        <v>2013</v>
      </c>
    </row>
    <row r="79" spans="1:16" x14ac:dyDescent="0.3">
      <c r="A79">
        <v>1065</v>
      </c>
      <c r="B79" t="s">
        <v>170</v>
      </c>
      <c r="C79">
        <v>27</v>
      </c>
      <c r="D79" t="s">
        <v>17</v>
      </c>
      <c r="E79" t="s">
        <v>87</v>
      </c>
      <c r="F79" t="s">
        <v>67</v>
      </c>
      <c r="G79" s="1">
        <v>44431</v>
      </c>
      <c r="J79" s="8">
        <v>2700</v>
      </c>
      <c r="K79" t="s">
        <v>20</v>
      </c>
      <c r="L79">
        <v>3</v>
      </c>
      <c r="M79">
        <v>0</v>
      </c>
      <c r="N79">
        <v>2</v>
      </c>
      <c r="O79" t="s">
        <v>51</v>
      </c>
      <c r="P79">
        <v>2021</v>
      </c>
    </row>
    <row r="80" spans="1:16" x14ac:dyDescent="0.3">
      <c r="A80">
        <v>1066</v>
      </c>
      <c r="B80" t="s">
        <v>171</v>
      </c>
      <c r="C80">
        <v>34</v>
      </c>
      <c r="D80" t="s">
        <v>23</v>
      </c>
      <c r="E80" t="s">
        <v>172</v>
      </c>
      <c r="F80" t="s">
        <v>67</v>
      </c>
      <c r="G80" s="1">
        <v>42989</v>
      </c>
      <c r="J80" s="8">
        <v>7700</v>
      </c>
      <c r="K80" t="s">
        <v>34</v>
      </c>
      <c r="L80">
        <v>4</v>
      </c>
      <c r="M80">
        <v>1</v>
      </c>
      <c r="N80">
        <v>4</v>
      </c>
      <c r="O80" t="s">
        <v>38</v>
      </c>
      <c r="P80">
        <v>2017</v>
      </c>
    </row>
    <row r="81" spans="1:16" x14ac:dyDescent="0.3">
      <c r="A81">
        <v>1067</v>
      </c>
      <c r="B81" t="s">
        <v>173</v>
      </c>
      <c r="C81">
        <v>36</v>
      </c>
      <c r="D81" t="s">
        <v>95</v>
      </c>
      <c r="E81" t="s">
        <v>114</v>
      </c>
      <c r="F81" t="s">
        <v>67</v>
      </c>
      <c r="G81" s="1">
        <v>42929</v>
      </c>
      <c r="J81" s="8">
        <v>5200</v>
      </c>
      <c r="K81" t="s">
        <v>34</v>
      </c>
      <c r="L81">
        <v>4</v>
      </c>
      <c r="M81">
        <v>2</v>
      </c>
      <c r="N81">
        <v>3</v>
      </c>
      <c r="O81" t="s">
        <v>57</v>
      </c>
      <c r="P81">
        <v>2017</v>
      </c>
    </row>
    <row r="82" spans="1:16" x14ac:dyDescent="0.3">
      <c r="A82">
        <v>1068</v>
      </c>
      <c r="B82" t="s">
        <v>174</v>
      </c>
      <c r="C82">
        <v>27</v>
      </c>
      <c r="D82" t="s">
        <v>26</v>
      </c>
      <c r="E82" t="s">
        <v>175</v>
      </c>
      <c r="F82" t="s">
        <v>67</v>
      </c>
      <c r="G82" s="1">
        <v>44362</v>
      </c>
      <c r="J82" s="8">
        <v>4500</v>
      </c>
      <c r="K82" t="s">
        <v>74</v>
      </c>
      <c r="L82">
        <v>3</v>
      </c>
      <c r="M82">
        <v>0</v>
      </c>
      <c r="N82">
        <v>4</v>
      </c>
      <c r="O82" t="s">
        <v>75</v>
      </c>
      <c r="P82">
        <v>2021</v>
      </c>
    </row>
    <row r="83" spans="1:16" x14ac:dyDescent="0.3">
      <c r="A83">
        <v>1069</v>
      </c>
      <c r="B83" t="s">
        <v>176</v>
      </c>
      <c r="C83">
        <v>35</v>
      </c>
      <c r="D83" t="s">
        <v>69</v>
      </c>
      <c r="E83" t="s">
        <v>70</v>
      </c>
      <c r="F83" t="s">
        <v>67</v>
      </c>
      <c r="G83" s="1">
        <v>43038</v>
      </c>
      <c r="J83" s="8">
        <v>5400</v>
      </c>
      <c r="K83" t="s">
        <v>34</v>
      </c>
      <c r="L83">
        <v>4</v>
      </c>
      <c r="M83">
        <v>0</v>
      </c>
      <c r="N83">
        <v>4</v>
      </c>
      <c r="O83" t="s">
        <v>47</v>
      </c>
      <c r="P83">
        <v>2017</v>
      </c>
    </row>
    <row r="84" spans="1:16" x14ac:dyDescent="0.3">
      <c r="A84">
        <v>1070</v>
      </c>
      <c r="B84" t="s">
        <v>177</v>
      </c>
      <c r="C84">
        <v>33</v>
      </c>
      <c r="D84" t="s">
        <v>77</v>
      </c>
      <c r="E84" t="s">
        <v>178</v>
      </c>
      <c r="F84" t="s">
        <v>67</v>
      </c>
      <c r="G84" s="1">
        <v>43171</v>
      </c>
      <c r="J84" s="8">
        <v>3700</v>
      </c>
      <c r="K84" t="s">
        <v>20</v>
      </c>
      <c r="L84">
        <v>3</v>
      </c>
      <c r="M84">
        <v>3</v>
      </c>
      <c r="N84">
        <v>1</v>
      </c>
      <c r="O84" t="s">
        <v>41</v>
      </c>
      <c r="P84">
        <v>2018</v>
      </c>
    </row>
    <row r="85" spans="1:16" x14ac:dyDescent="0.3">
      <c r="A85">
        <v>1071</v>
      </c>
      <c r="B85" t="s">
        <v>179</v>
      </c>
      <c r="C85">
        <v>26</v>
      </c>
      <c r="D85" t="s">
        <v>31</v>
      </c>
      <c r="E85" t="s">
        <v>158</v>
      </c>
      <c r="F85" t="s">
        <v>67</v>
      </c>
      <c r="G85" s="1">
        <v>44599</v>
      </c>
      <c r="J85" s="8">
        <v>4200</v>
      </c>
      <c r="K85" t="s">
        <v>34</v>
      </c>
      <c r="L85">
        <v>3</v>
      </c>
      <c r="M85">
        <v>0</v>
      </c>
      <c r="N85">
        <v>3</v>
      </c>
      <c r="O85" t="s">
        <v>21</v>
      </c>
      <c r="P85">
        <v>2022</v>
      </c>
    </row>
    <row r="86" spans="1:16" x14ac:dyDescent="0.3">
      <c r="A86">
        <v>1072</v>
      </c>
      <c r="B86" t="s">
        <v>180</v>
      </c>
      <c r="C86">
        <v>33</v>
      </c>
      <c r="D86" t="s">
        <v>77</v>
      </c>
      <c r="E86" t="s">
        <v>181</v>
      </c>
      <c r="F86" t="s">
        <v>67</v>
      </c>
      <c r="G86" s="1">
        <v>43276</v>
      </c>
      <c r="J86" s="8">
        <v>3600</v>
      </c>
      <c r="K86" t="s">
        <v>20</v>
      </c>
      <c r="L86">
        <v>3</v>
      </c>
      <c r="M86">
        <v>2</v>
      </c>
      <c r="N86">
        <v>1</v>
      </c>
      <c r="O86" t="s">
        <v>75</v>
      </c>
      <c r="P86">
        <v>2018</v>
      </c>
    </row>
    <row r="87" spans="1:16" x14ac:dyDescent="0.3">
      <c r="A87">
        <v>1073</v>
      </c>
      <c r="B87" t="s">
        <v>182</v>
      </c>
      <c r="C87">
        <v>35</v>
      </c>
      <c r="D87" t="s">
        <v>95</v>
      </c>
      <c r="E87" t="s">
        <v>114</v>
      </c>
      <c r="F87" t="s">
        <v>67</v>
      </c>
      <c r="G87" s="1">
        <v>42807</v>
      </c>
      <c r="J87" s="8">
        <v>5200</v>
      </c>
      <c r="K87" t="s">
        <v>34</v>
      </c>
      <c r="L87">
        <v>3</v>
      </c>
      <c r="M87">
        <v>2</v>
      </c>
      <c r="N87">
        <v>2</v>
      </c>
      <c r="O87" t="s">
        <v>41</v>
      </c>
      <c r="P87">
        <v>2017</v>
      </c>
    </row>
    <row r="88" spans="1:16" x14ac:dyDescent="0.3">
      <c r="A88">
        <v>1074</v>
      </c>
      <c r="B88" t="s">
        <v>183</v>
      </c>
      <c r="C88">
        <v>33</v>
      </c>
      <c r="D88" t="s">
        <v>95</v>
      </c>
      <c r="E88" t="s">
        <v>114</v>
      </c>
      <c r="F88" t="s">
        <v>67</v>
      </c>
      <c r="G88" s="1">
        <v>43388</v>
      </c>
      <c r="J88" s="8">
        <v>5200</v>
      </c>
      <c r="K88" t="s">
        <v>34</v>
      </c>
      <c r="L88">
        <v>3</v>
      </c>
      <c r="M88">
        <v>2</v>
      </c>
      <c r="N88">
        <v>2</v>
      </c>
      <c r="O88" t="s">
        <v>47</v>
      </c>
      <c r="P88">
        <v>2018</v>
      </c>
    </row>
    <row r="89" spans="1:16" x14ac:dyDescent="0.3">
      <c r="A89">
        <v>1076</v>
      </c>
      <c r="B89" t="s">
        <v>184</v>
      </c>
      <c r="C89">
        <v>38</v>
      </c>
      <c r="D89" t="s">
        <v>82</v>
      </c>
      <c r="E89" t="s">
        <v>114</v>
      </c>
      <c r="F89" t="s">
        <v>67</v>
      </c>
      <c r="G89" s="1">
        <v>42296</v>
      </c>
      <c r="J89" s="8">
        <v>6100</v>
      </c>
      <c r="K89" t="s">
        <v>34</v>
      </c>
      <c r="L89">
        <v>3</v>
      </c>
      <c r="M89">
        <v>2</v>
      </c>
      <c r="N89">
        <v>2</v>
      </c>
      <c r="O89" t="s">
        <v>47</v>
      </c>
      <c r="P89">
        <v>2015</v>
      </c>
    </row>
    <row r="90" spans="1:16" x14ac:dyDescent="0.3">
      <c r="A90">
        <v>1077</v>
      </c>
      <c r="B90" t="s">
        <v>185</v>
      </c>
      <c r="C90">
        <v>38</v>
      </c>
      <c r="D90" t="s">
        <v>77</v>
      </c>
      <c r="E90" t="s">
        <v>98</v>
      </c>
      <c r="F90" t="s">
        <v>67</v>
      </c>
      <c r="G90" s="1">
        <v>42601</v>
      </c>
      <c r="J90" s="8">
        <v>6900</v>
      </c>
      <c r="K90" t="s">
        <v>20</v>
      </c>
      <c r="L90">
        <v>4</v>
      </c>
      <c r="M90">
        <v>4</v>
      </c>
      <c r="N90">
        <v>2</v>
      </c>
      <c r="O90" t="s">
        <v>51</v>
      </c>
      <c r="P90">
        <v>2016</v>
      </c>
    </row>
    <row r="91" spans="1:16" x14ac:dyDescent="0.3">
      <c r="A91">
        <v>1078</v>
      </c>
      <c r="B91" t="s">
        <v>186</v>
      </c>
      <c r="C91">
        <v>26</v>
      </c>
      <c r="D91" t="s">
        <v>26</v>
      </c>
      <c r="E91" t="s">
        <v>40</v>
      </c>
      <c r="F91" t="s">
        <v>67</v>
      </c>
      <c r="G91" s="1">
        <v>44774</v>
      </c>
      <c r="J91" s="8">
        <v>4400</v>
      </c>
      <c r="K91" t="s">
        <v>74</v>
      </c>
      <c r="L91">
        <v>3</v>
      </c>
      <c r="M91">
        <v>0</v>
      </c>
      <c r="N91">
        <v>4</v>
      </c>
      <c r="O91" t="s">
        <v>51</v>
      </c>
      <c r="P91">
        <v>2022</v>
      </c>
    </row>
    <row r="92" spans="1:16" x14ac:dyDescent="0.3">
      <c r="A92">
        <v>1079</v>
      </c>
      <c r="B92" t="s">
        <v>187</v>
      </c>
      <c r="C92">
        <v>31</v>
      </c>
      <c r="D92" t="s">
        <v>23</v>
      </c>
      <c r="E92" t="s">
        <v>188</v>
      </c>
      <c r="F92" t="s">
        <v>67</v>
      </c>
      <c r="G92" s="1">
        <v>43633</v>
      </c>
      <c r="J92" s="8">
        <v>10500</v>
      </c>
      <c r="K92" t="s">
        <v>34</v>
      </c>
      <c r="L92">
        <v>4</v>
      </c>
      <c r="M92">
        <v>0</v>
      </c>
      <c r="N92">
        <v>3</v>
      </c>
      <c r="O92" t="s">
        <v>75</v>
      </c>
      <c r="P92">
        <v>2019</v>
      </c>
    </row>
    <row r="93" spans="1:16" x14ac:dyDescent="0.3">
      <c r="A93">
        <v>1080</v>
      </c>
      <c r="B93" t="s">
        <v>189</v>
      </c>
      <c r="C93">
        <v>31</v>
      </c>
      <c r="D93" t="s">
        <v>26</v>
      </c>
      <c r="E93" t="s">
        <v>190</v>
      </c>
      <c r="F93" t="s">
        <v>67</v>
      </c>
      <c r="G93" s="1">
        <v>43710</v>
      </c>
      <c r="J93" s="8">
        <v>5200</v>
      </c>
      <c r="K93" t="s">
        <v>34</v>
      </c>
      <c r="L93">
        <v>3</v>
      </c>
      <c r="M93">
        <v>0</v>
      </c>
      <c r="N93">
        <v>4</v>
      </c>
      <c r="O93" t="s">
        <v>38</v>
      </c>
      <c r="P93">
        <v>2019</v>
      </c>
    </row>
    <row r="94" spans="1:16" x14ac:dyDescent="0.3">
      <c r="A94">
        <v>1081</v>
      </c>
      <c r="B94" t="s">
        <v>191</v>
      </c>
      <c r="C94">
        <v>38</v>
      </c>
      <c r="D94" t="s">
        <v>65</v>
      </c>
      <c r="E94" t="s">
        <v>91</v>
      </c>
      <c r="F94" t="s">
        <v>67</v>
      </c>
      <c r="G94" s="1">
        <v>41827</v>
      </c>
      <c r="J94" s="8">
        <v>9300</v>
      </c>
      <c r="K94" t="s">
        <v>34</v>
      </c>
      <c r="L94">
        <v>4</v>
      </c>
      <c r="M94">
        <v>2</v>
      </c>
      <c r="N94">
        <v>3</v>
      </c>
      <c r="O94" t="s">
        <v>57</v>
      </c>
      <c r="P94">
        <v>2014</v>
      </c>
    </row>
    <row r="95" spans="1:16" x14ac:dyDescent="0.3">
      <c r="A95">
        <v>1083</v>
      </c>
      <c r="B95" t="s">
        <v>192</v>
      </c>
      <c r="C95">
        <v>28</v>
      </c>
      <c r="D95" t="s">
        <v>26</v>
      </c>
      <c r="E95" t="s">
        <v>193</v>
      </c>
      <c r="F95" t="s">
        <v>67</v>
      </c>
      <c r="G95" s="1">
        <v>44214</v>
      </c>
      <c r="J95" s="8">
        <v>4300</v>
      </c>
      <c r="K95" t="s">
        <v>34</v>
      </c>
      <c r="L95">
        <v>3</v>
      </c>
      <c r="M95">
        <v>0</v>
      </c>
      <c r="N95">
        <v>3</v>
      </c>
      <c r="O95" t="s">
        <v>49</v>
      </c>
      <c r="P95">
        <v>2021</v>
      </c>
    </row>
    <row r="96" spans="1:16" x14ac:dyDescent="0.3">
      <c r="A96">
        <v>1084</v>
      </c>
      <c r="B96" t="s">
        <v>194</v>
      </c>
      <c r="C96">
        <v>39</v>
      </c>
      <c r="D96" t="s">
        <v>77</v>
      </c>
      <c r="E96" t="s">
        <v>195</v>
      </c>
      <c r="F96" t="s">
        <v>67</v>
      </c>
      <c r="G96" s="1">
        <v>42429</v>
      </c>
      <c r="J96" s="8">
        <v>8600</v>
      </c>
      <c r="K96" t="s">
        <v>20</v>
      </c>
      <c r="L96">
        <v>4</v>
      </c>
      <c r="M96">
        <v>3</v>
      </c>
      <c r="N96">
        <v>2</v>
      </c>
      <c r="O96" t="s">
        <v>21</v>
      </c>
      <c r="P96">
        <v>2016</v>
      </c>
    </row>
    <row r="97" spans="1:16" x14ac:dyDescent="0.3">
      <c r="A97">
        <v>1085</v>
      </c>
      <c r="B97" t="s">
        <v>196</v>
      </c>
      <c r="C97">
        <v>33</v>
      </c>
      <c r="D97" t="s">
        <v>65</v>
      </c>
      <c r="E97" t="s">
        <v>72</v>
      </c>
      <c r="F97" t="s">
        <v>67</v>
      </c>
      <c r="G97" s="1">
        <v>42758</v>
      </c>
      <c r="J97" s="8">
        <v>9800</v>
      </c>
      <c r="K97" t="s">
        <v>34</v>
      </c>
      <c r="L97">
        <v>5</v>
      </c>
      <c r="M97">
        <v>0</v>
      </c>
      <c r="N97">
        <v>3</v>
      </c>
      <c r="O97" t="s">
        <v>49</v>
      </c>
      <c r="P97">
        <v>2017</v>
      </c>
    </row>
    <row r="98" spans="1:16" x14ac:dyDescent="0.3">
      <c r="A98">
        <v>1087</v>
      </c>
      <c r="B98" t="s">
        <v>197</v>
      </c>
      <c r="C98">
        <v>29</v>
      </c>
      <c r="D98" t="s">
        <v>36</v>
      </c>
      <c r="E98" t="s">
        <v>198</v>
      </c>
      <c r="F98" t="s">
        <v>67</v>
      </c>
      <c r="G98" s="1">
        <v>44095</v>
      </c>
      <c r="J98" s="8">
        <v>5200</v>
      </c>
      <c r="K98" t="s">
        <v>34</v>
      </c>
      <c r="L98">
        <v>4</v>
      </c>
      <c r="M98">
        <v>1</v>
      </c>
      <c r="N98">
        <v>3</v>
      </c>
      <c r="O98" t="s">
        <v>38</v>
      </c>
      <c r="P98">
        <v>2020</v>
      </c>
    </row>
    <row r="99" spans="1:16" x14ac:dyDescent="0.3">
      <c r="A99">
        <v>1088</v>
      </c>
      <c r="B99" t="s">
        <v>199</v>
      </c>
      <c r="C99">
        <v>43</v>
      </c>
      <c r="D99" t="s">
        <v>77</v>
      </c>
      <c r="E99" t="s">
        <v>78</v>
      </c>
      <c r="F99" t="s">
        <v>67</v>
      </c>
      <c r="G99" s="1">
        <v>41302</v>
      </c>
      <c r="J99" s="8">
        <v>8500</v>
      </c>
      <c r="K99" t="s">
        <v>20</v>
      </c>
      <c r="L99">
        <v>4</v>
      </c>
      <c r="M99">
        <v>3</v>
      </c>
      <c r="N99">
        <v>2</v>
      </c>
      <c r="O99" t="s">
        <v>49</v>
      </c>
      <c r="P99">
        <v>2013</v>
      </c>
    </row>
    <row r="100" spans="1:16" x14ac:dyDescent="0.3">
      <c r="A100">
        <v>1089</v>
      </c>
      <c r="B100" t="s">
        <v>200</v>
      </c>
      <c r="C100">
        <v>29</v>
      </c>
      <c r="D100" t="s">
        <v>23</v>
      </c>
      <c r="E100" t="s">
        <v>201</v>
      </c>
      <c r="F100" t="s">
        <v>67</v>
      </c>
      <c r="G100" s="1">
        <v>43549</v>
      </c>
      <c r="J100" s="8">
        <v>8300</v>
      </c>
      <c r="K100" t="s">
        <v>74</v>
      </c>
      <c r="L100">
        <v>4</v>
      </c>
      <c r="M100">
        <v>0</v>
      </c>
      <c r="N100">
        <v>4</v>
      </c>
      <c r="O100" t="s">
        <v>41</v>
      </c>
      <c r="P100">
        <v>2019</v>
      </c>
    </row>
    <row r="101" spans="1:16" x14ac:dyDescent="0.3">
      <c r="A101">
        <v>1090</v>
      </c>
      <c r="B101" t="s">
        <v>202</v>
      </c>
      <c r="C101">
        <v>27</v>
      </c>
      <c r="D101" t="s">
        <v>31</v>
      </c>
      <c r="E101" t="s">
        <v>158</v>
      </c>
      <c r="F101" t="s">
        <v>67</v>
      </c>
      <c r="G101" s="1">
        <v>44529</v>
      </c>
      <c r="J101" s="8">
        <v>4300</v>
      </c>
      <c r="K101" t="s">
        <v>34</v>
      </c>
      <c r="L101">
        <v>3</v>
      </c>
      <c r="M101">
        <v>0</v>
      </c>
      <c r="N101">
        <v>3</v>
      </c>
      <c r="O101" t="s">
        <v>84</v>
      </c>
      <c r="P101">
        <v>2021</v>
      </c>
    </row>
    <row r="102" spans="1:16" x14ac:dyDescent="0.3">
      <c r="A102">
        <v>1091</v>
      </c>
      <c r="B102" t="s">
        <v>203</v>
      </c>
      <c r="C102">
        <v>33</v>
      </c>
      <c r="D102" t="s">
        <v>95</v>
      </c>
      <c r="E102" t="s">
        <v>112</v>
      </c>
      <c r="F102" t="s">
        <v>67</v>
      </c>
      <c r="G102" s="1">
        <v>43045</v>
      </c>
      <c r="J102" s="8">
        <v>6500</v>
      </c>
      <c r="K102" t="s">
        <v>20</v>
      </c>
      <c r="L102">
        <v>3</v>
      </c>
      <c r="M102">
        <v>4</v>
      </c>
      <c r="N102">
        <v>1</v>
      </c>
      <c r="O102" t="s">
        <v>84</v>
      </c>
      <c r="P102">
        <v>2017</v>
      </c>
    </row>
    <row r="103" spans="1:16" x14ac:dyDescent="0.3">
      <c r="A103">
        <v>1092</v>
      </c>
      <c r="B103" t="s">
        <v>204</v>
      </c>
      <c r="C103">
        <v>48</v>
      </c>
      <c r="D103" t="s">
        <v>65</v>
      </c>
      <c r="E103" t="s">
        <v>103</v>
      </c>
      <c r="F103" t="s">
        <v>67</v>
      </c>
      <c r="G103" s="1">
        <v>41505</v>
      </c>
      <c r="J103" s="8">
        <v>13500</v>
      </c>
      <c r="K103" t="s">
        <v>20</v>
      </c>
      <c r="L103">
        <v>4</v>
      </c>
      <c r="M103">
        <v>3</v>
      </c>
      <c r="N103">
        <v>1</v>
      </c>
      <c r="O103" t="s">
        <v>51</v>
      </c>
      <c r="P103">
        <v>2013</v>
      </c>
    </row>
    <row r="104" spans="1:16" x14ac:dyDescent="0.3">
      <c r="A104">
        <v>1095</v>
      </c>
      <c r="B104" t="s">
        <v>205</v>
      </c>
      <c r="C104">
        <v>39</v>
      </c>
      <c r="D104" t="s">
        <v>69</v>
      </c>
      <c r="E104" t="s">
        <v>162</v>
      </c>
      <c r="F104" t="s">
        <v>67</v>
      </c>
      <c r="G104" s="1">
        <v>41911</v>
      </c>
      <c r="J104" s="8">
        <v>7800</v>
      </c>
      <c r="K104" t="s">
        <v>34</v>
      </c>
      <c r="L104">
        <v>4</v>
      </c>
      <c r="M104">
        <v>2</v>
      </c>
      <c r="N104">
        <v>3</v>
      </c>
      <c r="O104" t="s">
        <v>38</v>
      </c>
      <c r="P104">
        <v>2014</v>
      </c>
    </row>
    <row r="105" spans="1:16" x14ac:dyDescent="0.3">
      <c r="A105">
        <v>1096</v>
      </c>
      <c r="B105" t="s">
        <v>206</v>
      </c>
      <c r="C105">
        <v>41</v>
      </c>
      <c r="D105" t="s">
        <v>36</v>
      </c>
      <c r="E105" t="s">
        <v>93</v>
      </c>
      <c r="F105" t="s">
        <v>67</v>
      </c>
      <c r="G105" s="1">
        <v>42776</v>
      </c>
      <c r="J105" s="8">
        <v>8700</v>
      </c>
      <c r="K105" t="s">
        <v>34</v>
      </c>
      <c r="L105">
        <v>4</v>
      </c>
      <c r="M105">
        <v>1</v>
      </c>
      <c r="N105">
        <v>5</v>
      </c>
      <c r="O105" t="s">
        <v>21</v>
      </c>
      <c r="P105">
        <v>2017</v>
      </c>
    </row>
    <row r="106" spans="1:16" x14ac:dyDescent="0.3">
      <c r="A106">
        <v>1097</v>
      </c>
      <c r="B106" t="s">
        <v>207</v>
      </c>
      <c r="C106">
        <v>26</v>
      </c>
      <c r="D106" t="s">
        <v>17</v>
      </c>
      <c r="E106" t="s">
        <v>18</v>
      </c>
      <c r="F106" t="s">
        <v>67</v>
      </c>
      <c r="G106" s="1">
        <v>44718</v>
      </c>
      <c r="J106" s="8">
        <v>3200</v>
      </c>
      <c r="K106" t="s">
        <v>74</v>
      </c>
      <c r="L106">
        <v>3</v>
      </c>
      <c r="M106">
        <v>0</v>
      </c>
      <c r="N106">
        <v>2</v>
      </c>
      <c r="O106" t="s">
        <v>75</v>
      </c>
      <c r="P106">
        <v>2022</v>
      </c>
    </row>
    <row r="107" spans="1:16" x14ac:dyDescent="0.3">
      <c r="A107">
        <v>1098</v>
      </c>
      <c r="B107" t="s">
        <v>208</v>
      </c>
      <c r="C107">
        <v>36</v>
      </c>
      <c r="D107" t="s">
        <v>82</v>
      </c>
      <c r="E107" t="s">
        <v>209</v>
      </c>
      <c r="F107" t="s">
        <v>67</v>
      </c>
      <c r="G107" s="1">
        <v>43164</v>
      </c>
      <c r="J107" s="8">
        <v>6500</v>
      </c>
      <c r="K107" t="s">
        <v>20</v>
      </c>
      <c r="L107">
        <v>3</v>
      </c>
      <c r="M107">
        <v>6</v>
      </c>
      <c r="N107">
        <v>0</v>
      </c>
      <c r="O107" t="s">
        <v>41</v>
      </c>
      <c r="P107">
        <v>2018</v>
      </c>
    </row>
    <row r="108" spans="1:16" x14ac:dyDescent="0.3">
      <c r="A108">
        <v>1099</v>
      </c>
      <c r="B108" t="s">
        <v>210</v>
      </c>
      <c r="C108">
        <v>44</v>
      </c>
      <c r="D108" t="s">
        <v>31</v>
      </c>
      <c r="E108" t="s">
        <v>211</v>
      </c>
      <c r="F108" t="s">
        <v>67</v>
      </c>
      <c r="G108" s="1">
        <v>41785</v>
      </c>
      <c r="J108" s="8">
        <v>12800</v>
      </c>
      <c r="K108" t="s">
        <v>34</v>
      </c>
      <c r="L108">
        <v>5</v>
      </c>
      <c r="M108">
        <v>2</v>
      </c>
      <c r="N108">
        <v>3</v>
      </c>
      <c r="O108" t="s">
        <v>53</v>
      </c>
      <c r="P108">
        <v>2014</v>
      </c>
    </row>
    <row r="109" spans="1:16" x14ac:dyDescent="0.3">
      <c r="A109">
        <v>1100</v>
      </c>
      <c r="B109" t="s">
        <v>212</v>
      </c>
      <c r="C109">
        <v>41</v>
      </c>
      <c r="D109" t="s">
        <v>77</v>
      </c>
      <c r="E109" t="s">
        <v>98</v>
      </c>
      <c r="F109" t="s">
        <v>67</v>
      </c>
      <c r="G109" s="1">
        <v>41428</v>
      </c>
      <c r="J109" s="8">
        <v>7200</v>
      </c>
      <c r="K109" t="s">
        <v>20</v>
      </c>
      <c r="L109">
        <v>3</v>
      </c>
      <c r="M109">
        <v>4</v>
      </c>
      <c r="N109">
        <v>1</v>
      </c>
      <c r="O109" t="s">
        <v>75</v>
      </c>
      <c r="P109">
        <v>2013</v>
      </c>
    </row>
    <row r="110" spans="1:16" x14ac:dyDescent="0.3">
      <c r="A110">
        <v>1102</v>
      </c>
      <c r="B110" t="s">
        <v>213</v>
      </c>
      <c r="C110">
        <v>30</v>
      </c>
      <c r="D110" t="s">
        <v>17</v>
      </c>
      <c r="E110" t="s">
        <v>18</v>
      </c>
      <c r="F110" t="s">
        <v>67</v>
      </c>
      <c r="G110" s="1">
        <v>43486</v>
      </c>
      <c r="H110">
        <v>45199</v>
      </c>
      <c r="I110" t="s">
        <v>104</v>
      </c>
      <c r="J110" s="8">
        <v>3300</v>
      </c>
      <c r="K110" t="s">
        <v>74</v>
      </c>
      <c r="L110">
        <v>3</v>
      </c>
      <c r="M110">
        <v>1</v>
      </c>
      <c r="N110">
        <v>2</v>
      </c>
      <c r="O110" t="s">
        <v>49</v>
      </c>
      <c r="P110">
        <v>2019</v>
      </c>
    </row>
    <row r="111" spans="1:16" x14ac:dyDescent="0.3">
      <c r="A111">
        <v>1103</v>
      </c>
      <c r="B111" t="s">
        <v>214</v>
      </c>
      <c r="C111">
        <v>29</v>
      </c>
      <c r="D111" t="s">
        <v>26</v>
      </c>
      <c r="E111" t="s">
        <v>175</v>
      </c>
      <c r="F111" t="s">
        <v>67</v>
      </c>
      <c r="G111" s="1">
        <v>43906</v>
      </c>
      <c r="J111" s="8">
        <v>4500</v>
      </c>
      <c r="K111" t="s">
        <v>34</v>
      </c>
      <c r="L111">
        <v>3</v>
      </c>
      <c r="M111">
        <v>0</v>
      </c>
      <c r="N111">
        <v>3</v>
      </c>
      <c r="O111" t="s">
        <v>41</v>
      </c>
      <c r="P111">
        <v>2020</v>
      </c>
    </row>
    <row r="112" spans="1:16" x14ac:dyDescent="0.3">
      <c r="A112">
        <v>1104</v>
      </c>
      <c r="B112" t="s">
        <v>215</v>
      </c>
      <c r="C112">
        <v>39</v>
      </c>
      <c r="D112" t="s">
        <v>77</v>
      </c>
      <c r="E112" t="s">
        <v>98</v>
      </c>
      <c r="F112" t="s">
        <v>67</v>
      </c>
      <c r="G112" s="1">
        <v>42632</v>
      </c>
      <c r="J112" s="8">
        <v>7200</v>
      </c>
      <c r="K112" t="s">
        <v>20</v>
      </c>
      <c r="L112">
        <v>4</v>
      </c>
      <c r="M112">
        <v>5</v>
      </c>
      <c r="N112">
        <v>1</v>
      </c>
      <c r="O112" t="s">
        <v>38</v>
      </c>
      <c r="P112">
        <v>2016</v>
      </c>
    </row>
    <row r="113" spans="1:16" x14ac:dyDescent="0.3">
      <c r="A113">
        <v>1105</v>
      </c>
      <c r="B113" t="s">
        <v>216</v>
      </c>
      <c r="C113">
        <v>26</v>
      </c>
      <c r="D113" t="s">
        <v>31</v>
      </c>
      <c r="E113" t="s">
        <v>217</v>
      </c>
      <c r="F113" t="s">
        <v>67</v>
      </c>
      <c r="G113" s="1">
        <v>44935</v>
      </c>
      <c r="J113" s="8">
        <v>4100</v>
      </c>
      <c r="K113" t="s">
        <v>74</v>
      </c>
      <c r="L113">
        <v>3</v>
      </c>
      <c r="M113">
        <v>3</v>
      </c>
      <c r="N113">
        <v>2</v>
      </c>
      <c r="O113" t="s">
        <v>49</v>
      </c>
      <c r="P113">
        <v>2023</v>
      </c>
    </row>
    <row r="114" spans="1:16" x14ac:dyDescent="0.3">
      <c r="A114">
        <v>1106</v>
      </c>
      <c r="B114" t="s">
        <v>218</v>
      </c>
      <c r="C114">
        <v>52</v>
      </c>
      <c r="D114" t="s">
        <v>82</v>
      </c>
      <c r="E114" t="s">
        <v>219</v>
      </c>
      <c r="F114" t="s">
        <v>67</v>
      </c>
      <c r="G114" s="1">
        <v>41002</v>
      </c>
      <c r="H114">
        <v>45275</v>
      </c>
      <c r="I114" t="s">
        <v>135</v>
      </c>
      <c r="J114" s="8">
        <v>6800</v>
      </c>
      <c r="K114" t="s">
        <v>20</v>
      </c>
      <c r="L114">
        <v>4</v>
      </c>
      <c r="M114">
        <v>5</v>
      </c>
      <c r="N114">
        <v>0</v>
      </c>
      <c r="O114" t="s">
        <v>43</v>
      </c>
      <c r="P114">
        <v>2012</v>
      </c>
    </row>
    <row r="115" spans="1:16" x14ac:dyDescent="0.3">
      <c r="A115">
        <v>1107</v>
      </c>
      <c r="B115" t="s">
        <v>220</v>
      </c>
      <c r="C115">
        <v>33</v>
      </c>
      <c r="D115" t="s">
        <v>69</v>
      </c>
      <c r="E115" t="s">
        <v>144</v>
      </c>
      <c r="F115" t="s">
        <v>67</v>
      </c>
      <c r="G115" s="1">
        <v>43339</v>
      </c>
      <c r="J115" s="8">
        <v>4100</v>
      </c>
      <c r="K115" t="s">
        <v>20</v>
      </c>
      <c r="L115">
        <v>3</v>
      </c>
      <c r="M115">
        <v>1</v>
      </c>
      <c r="N115">
        <v>3</v>
      </c>
      <c r="O115" t="s">
        <v>51</v>
      </c>
      <c r="P115">
        <v>2018</v>
      </c>
    </row>
    <row r="116" spans="1:16" x14ac:dyDescent="0.3">
      <c r="A116">
        <v>1108</v>
      </c>
      <c r="B116" t="s">
        <v>221</v>
      </c>
      <c r="C116">
        <v>26</v>
      </c>
      <c r="D116" t="s">
        <v>36</v>
      </c>
      <c r="E116" t="s">
        <v>147</v>
      </c>
      <c r="F116" t="s">
        <v>67</v>
      </c>
      <c r="G116" s="1">
        <v>44592</v>
      </c>
      <c r="J116" s="8">
        <v>4800</v>
      </c>
      <c r="K116" t="s">
        <v>34</v>
      </c>
      <c r="L116">
        <v>3</v>
      </c>
      <c r="M116">
        <v>0</v>
      </c>
      <c r="N116">
        <v>3</v>
      </c>
      <c r="O116" t="s">
        <v>49</v>
      </c>
      <c r="P116">
        <v>2022</v>
      </c>
    </row>
    <row r="117" spans="1:16" x14ac:dyDescent="0.3">
      <c r="A117">
        <v>1110</v>
      </c>
      <c r="B117" t="s">
        <v>222</v>
      </c>
      <c r="C117">
        <v>31</v>
      </c>
      <c r="D117" t="s">
        <v>31</v>
      </c>
      <c r="E117" t="s">
        <v>223</v>
      </c>
      <c r="F117" t="s">
        <v>67</v>
      </c>
      <c r="G117" s="1">
        <v>43353</v>
      </c>
      <c r="J117" s="8">
        <v>5700</v>
      </c>
      <c r="K117" t="s">
        <v>34</v>
      </c>
      <c r="L117">
        <v>4</v>
      </c>
      <c r="M117">
        <v>0</v>
      </c>
      <c r="N117">
        <v>3</v>
      </c>
      <c r="O117" t="s">
        <v>38</v>
      </c>
      <c r="P117">
        <v>2018</v>
      </c>
    </row>
    <row r="118" spans="1:16" x14ac:dyDescent="0.3">
      <c r="A118">
        <v>1111</v>
      </c>
      <c r="B118" t="s">
        <v>224</v>
      </c>
      <c r="C118">
        <v>34</v>
      </c>
      <c r="D118" t="s">
        <v>77</v>
      </c>
      <c r="E118" t="s">
        <v>181</v>
      </c>
      <c r="F118" t="s">
        <v>67</v>
      </c>
      <c r="G118" s="1">
        <v>43249</v>
      </c>
      <c r="J118" s="8">
        <v>3400</v>
      </c>
      <c r="K118" t="s">
        <v>20</v>
      </c>
      <c r="L118">
        <v>3</v>
      </c>
      <c r="M118">
        <v>2</v>
      </c>
      <c r="N118">
        <v>1</v>
      </c>
      <c r="O118" t="s">
        <v>53</v>
      </c>
      <c r="P118">
        <v>2018</v>
      </c>
    </row>
    <row r="119" spans="1:16" x14ac:dyDescent="0.3">
      <c r="A119">
        <v>1112</v>
      </c>
      <c r="B119" t="s">
        <v>225</v>
      </c>
      <c r="C119">
        <v>31</v>
      </c>
      <c r="D119" t="s">
        <v>36</v>
      </c>
      <c r="E119" t="s">
        <v>198</v>
      </c>
      <c r="F119" t="s">
        <v>67</v>
      </c>
      <c r="G119" s="1">
        <v>43801</v>
      </c>
      <c r="J119" s="8">
        <v>5200</v>
      </c>
      <c r="K119" t="s">
        <v>34</v>
      </c>
      <c r="L119">
        <v>3</v>
      </c>
      <c r="M119">
        <v>0</v>
      </c>
      <c r="N119">
        <v>3</v>
      </c>
      <c r="O119" t="s">
        <v>136</v>
      </c>
      <c r="P119">
        <v>2019</v>
      </c>
    </row>
    <row r="120" spans="1:16" x14ac:dyDescent="0.3">
      <c r="A120">
        <v>1113</v>
      </c>
      <c r="B120" t="s">
        <v>226</v>
      </c>
      <c r="C120">
        <v>32</v>
      </c>
      <c r="D120" t="s">
        <v>26</v>
      </c>
      <c r="E120" t="s">
        <v>89</v>
      </c>
      <c r="F120" t="s">
        <v>67</v>
      </c>
      <c r="G120" s="1">
        <v>43969</v>
      </c>
      <c r="J120" s="8">
        <v>7300</v>
      </c>
      <c r="K120" t="s">
        <v>34</v>
      </c>
      <c r="L120">
        <v>5</v>
      </c>
      <c r="M120">
        <v>0</v>
      </c>
      <c r="N120">
        <v>4</v>
      </c>
      <c r="O120" t="s">
        <v>53</v>
      </c>
      <c r="P120">
        <v>2020</v>
      </c>
    </row>
    <row r="121" spans="1:16" x14ac:dyDescent="0.3">
      <c r="A121">
        <v>1114</v>
      </c>
      <c r="B121" t="s">
        <v>227</v>
      </c>
      <c r="C121">
        <v>38</v>
      </c>
      <c r="D121" t="s">
        <v>36</v>
      </c>
      <c r="E121" t="s">
        <v>228</v>
      </c>
      <c r="F121" t="s">
        <v>67</v>
      </c>
      <c r="G121" s="1">
        <v>43283</v>
      </c>
      <c r="J121" s="8">
        <v>6200</v>
      </c>
      <c r="K121" t="s">
        <v>34</v>
      </c>
      <c r="L121">
        <v>3</v>
      </c>
      <c r="M121">
        <v>6</v>
      </c>
      <c r="N121">
        <v>8</v>
      </c>
      <c r="O121" t="s">
        <v>57</v>
      </c>
      <c r="P121">
        <v>2018</v>
      </c>
    </row>
    <row r="122" spans="1:16" x14ac:dyDescent="0.3">
      <c r="A122">
        <v>1116</v>
      </c>
      <c r="B122" t="s">
        <v>229</v>
      </c>
      <c r="C122">
        <v>28</v>
      </c>
      <c r="D122" t="s">
        <v>23</v>
      </c>
      <c r="E122" t="s">
        <v>29</v>
      </c>
      <c r="F122" t="s">
        <v>67</v>
      </c>
      <c r="G122" s="1">
        <v>44228</v>
      </c>
      <c r="J122" s="8">
        <v>3900</v>
      </c>
      <c r="K122" t="s">
        <v>20</v>
      </c>
      <c r="L122">
        <v>3</v>
      </c>
      <c r="M122">
        <v>1</v>
      </c>
      <c r="N122">
        <v>3</v>
      </c>
      <c r="O122" t="s">
        <v>21</v>
      </c>
      <c r="P122">
        <v>2021</v>
      </c>
    </row>
    <row r="123" spans="1:16" x14ac:dyDescent="0.3">
      <c r="A123">
        <v>1117</v>
      </c>
      <c r="B123" t="s">
        <v>230</v>
      </c>
      <c r="C123">
        <v>37</v>
      </c>
      <c r="D123" t="s">
        <v>82</v>
      </c>
      <c r="E123" t="s">
        <v>114</v>
      </c>
      <c r="F123" t="s">
        <v>67</v>
      </c>
      <c r="G123" s="1">
        <v>42422</v>
      </c>
      <c r="J123" s="8">
        <v>6000</v>
      </c>
      <c r="K123" t="s">
        <v>34</v>
      </c>
      <c r="L123">
        <v>3</v>
      </c>
      <c r="M123">
        <v>2</v>
      </c>
      <c r="N123">
        <v>2</v>
      </c>
      <c r="O123" t="s">
        <v>21</v>
      </c>
      <c r="P123">
        <v>2016</v>
      </c>
    </row>
    <row r="124" spans="1:16" x14ac:dyDescent="0.3">
      <c r="A124">
        <v>1118</v>
      </c>
      <c r="B124" t="s">
        <v>231</v>
      </c>
      <c r="C124">
        <v>37</v>
      </c>
      <c r="D124" t="s">
        <v>82</v>
      </c>
      <c r="E124" t="s">
        <v>106</v>
      </c>
      <c r="F124" t="s">
        <v>67</v>
      </c>
      <c r="G124" s="1">
        <v>42443</v>
      </c>
      <c r="J124" s="8">
        <v>7800</v>
      </c>
      <c r="K124" t="s">
        <v>20</v>
      </c>
      <c r="L124">
        <v>4</v>
      </c>
      <c r="M124">
        <v>4</v>
      </c>
      <c r="N124">
        <v>2</v>
      </c>
      <c r="O124" t="s">
        <v>41</v>
      </c>
      <c r="P124">
        <v>2016</v>
      </c>
    </row>
    <row r="125" spans="1:16" x14ac:dyDescent="0.3">
      <c r="A125">
        <v>1119</v>
      </c>
      <c r="B125" t="s">
        <v>232</v>
      </c>
      <c r="C125">
        <v>26</v>
      </c>
      <c r="D125" t="s">
        <v>23</v>
      </c>
      <c r="E125" t="s">
        <v>29</v>
      </c>
      <c r="F125" t="s">
        <v>67</v>
      </c>
      <c r="G125" s="1">
        <v>44662</v>
      </c>
      <c r="J125" s="8">
        <v>3900</v>
      </c>
      <c r="K125" t="s">
        <v>20</v>
      </c>
      <c r="L125">
        <v>3</v>
      </c>
      <c r="M125">
        <v>1</v>
      </c>
      <c r="N125">
        <v>3</v>
      </c>
      <c r="O125" t="s">
        <v>43</v>
      </c>
      <c r="P125">
        <v>2022</v>
      </c>
    </row>
    <row r="126" spans="1:16" x14ac:dyDescent="0.3">
      <c r="A126">
        <v>1120</v>
      </c>
      <c r="B126" t="s">
        <v>233</v>
      </c>
      <c r="C126">
        <v>36</v>
      </c>
      <c r="D126" t="s">
        <v>95</v>
      </c>
      <c r="E126" t="s">
        <v>114</v>
      </c>
      <c r="F126" t="s">
        <v>67</v>
      </c>
      <c r="G126" s="1">
        <v>42478</v>
      </c>
      <c r="J126" s="8">
        <v>5200</v>
      </c>
      <c r="K126" t="s">
        <v>34</v>
      </c>
      <c r="L126">
        <v>3</v>
      </c>
      <c r="M126">
        <v>2</v>
      </c>
      <c r="N126">
        <v>2</v>
      </c>
      <c r="O126" t="s">
        <v>43</v>
      </c>
      <c r="P126">
        <v>2016</v>
      </c>
    </row>
    <row r="127" spans="1:16" x14ac:dyDescent="0.3">
      <c r="A127">
        <v>1121</v>
      </c>
      <c r="B127" t="s">
        <v>234</v>
      </c>
      <c r="C127">
        <v>35</v>
      </c>
      <c r="D127" t="s">
        <v>82</v>
      </c>
      <c r="E127" t="s">
        <v>235</v>
      </c>
      <c r="F127" t="s">
        <v>67</v>
      </c>
      <c r="G127" s="1">
        <v>42947</v>
      </c>
      <c r="J127" s="8">
        <v>5600</v>
      </c>
      <c r="K127" t="s">
        <v>20</v>
      </c>
      <c r="L127">
        <v>3</v>
      </c>
      <c r="M127">
        <v>5</v>
      </c>
      <c r="N127">
        <v>1</v>
      </c>
      <c r="O127" t="s">
        <v>57</v>
      </c>
      <c r="P127">
        <v>2017</v>
      </c>
    </row>
    <row r="128" spans="1:16" x14ac:dyDescent="0.3">
      <c r="A128">
        <v>1123</v>
      </c>
      <c r="B128" t="s">
        <v>236</v>
      </c>
      <c r="C128">
        <v>28</v>
      </c>
      <c r="D128" t="s">
        <v>26</v>
      </c>
      <c r="E128" t="s">
        <v>175</v>
      </c>
      <c r="F128" t="s">
        <v>67</v>
      </c>
      <c r="G128" s="1">
        <v>44235</v>
      </c>
      <c r="J128" s="8">
        <v>4500</v>
      </c>
      <c r="K128" t="s">
        <v>34</v>
      </c>
      <c r="L128">
        <v>3</v>
      </c>
      <c r="M128">
        <v>0</v>
      </c>
      <c r="N128">
        <v>3</v>
      </c>
      <c r="O128" t="s">
        <v>21</v>
      </c>
      <c r="P128">
        <v>2021</v>
      </c>
    </row>
    <row r="129" spans="1:16" x14ac:dyDescent="0.3">
      <c r="A129">
        <v>1124</v>
      </c>
      <c r="B129" t="s">
        <v>237</v>
      </c>
      <c r="C129">
        <v>45</v>
      </c>
      <c r="D129" t="s">
        <v>95</v>
      </c>
      <c r="E129" t="s">
        <v>96</v>
      </c>
      <c r="F129" t="s">
        <v>67</v>
      </c>
      <c r="G129" s="1">
        <v>41225</v>
      </c>
      <c r="H129">
        <v>45138</v>
      </c>
      <c r="I129" t="s">
        <v>238</v>
      </c>
      <c r="J129" s="8">
        <v>8800</v>
      </c>
      <c r="K129" t="s">
        <v>20</v>
      </c>
      <c r="L129">
        <v>3</v>
      </c>
      <c r="M129">
        <v>6</v>
      </c>
      <c r="N129">
        <v>1</v>
      </c>
      <c r="O129" t="s">
        <v>84</v>
      </c>
      <c r="P129">
        <v>2012</v>
      </c>
    </row>
    <row r="130" spans="1:16" x14ac:dyDescent="0.3">
      <c r="A130">
        <v>1125</v>
      </c>
      <c r="B130" t="s">
        <v>239</v>
      </c>
      <c r="C130">
        <v>26</v>
      </c>
      <c r="D130" t="s">
        <v>31</v>
      </c>
      <c r="E130" t="s">
        <v>32</v>
      </c>
      <c r="F130" t="s">
        <v>67</v>
      </c>
      <c r="G130" s="1">
        <v>44725</v>
      </c>
      <c r="J130" s="8">
        <v>3200</v>
      </c>
      <c r="K130" t="s">
        <v>34</v>
      </c>
      <c r="L130">
        <v>3</v>
      </c>
      <c r="M130">
        <v>0</v>
      </c>
      <c r="N130">
        <v>2</v>
      </c>
      <c r="O130" t="s">
        <v>75</v>
      </c>
      <c r="P130">
        <v>2022</v>
      </c>
    </row>
    <row r="131" spans="1:16" x14ac:dyDescent="0.3">
      <c r="A131">
        <v>1126</v>
      </c>
      <c r="B131" t="s">
        <v>240</v>
      </c>
      <c r="C131">
        <v>28</v>
      </c>
      <c r="D131" t="s">
        <v>31</v>
      </c>
      <c r="E131" t="s">
        <v>120</v>
      </c>
      <c r="F131" t="s">
        <v>67</v>
      </c>
      <c r="G131" s="1">
        <v>44501</v>
      </c>
      <c r="H131">
        <v>45519</v>
      </c>
      <c r="I131" t="s">
        <v>104</v>
      </c>
      <c r="J131" s="8">
        <v>4300</v>
      </c>
      <c r="K131" t="s">
        <v>74</v>
      </c>
      <c r="L131">
        <v>3</v>
      </c>
      <c r="M131">
        <v>1</v>
      </c>
      <c r="N131">
        <v>1</v>
      </c>
      <c r="O131" t="s">
        <v>84</v>
      </c>
      <c r="P131">
        <v>2021</v>
      </c>
    </row>
    <row r="132" spans="1:16" x14ac:dyDescent="0.3">
      <c r="A132">
        <v>1128</v>
      </c>
      <c r="B132" t="s">
        <v>241</v>
      </c>
      <c r="C132">
        <v>35</v>
      </c>
      <c r="D132" t="s">
        <v>65</v>
      </c>
      <c r="E132" t="s">
        <v>123</v>
      </c>
      <c r="F132" t="s">
        <v>67</v>
      </c>
      <c r="G132" s="1">
        <v>43132</v>
      </c>
      <c r="J132" s="8">
        <v>6200</v>
      </c>
      <c r="K132" t="s">
        <v>20</v>
      </c>
      <c r="L132">
        <v>4</v>
      </c>
      <c r="M132">
        <v>2</v>
      </c>
      <c r="N132">
        <v>2</v>
      </c>
      <c r="O132" t="s">
        <v>21</v>
      </c>
      <c r="P132">
        <v>2018</v>
      </c>
    </row>
    <row r="133" spans="1:16" x14ac:dyDescent="0.3">
      <c r="A133">
        <v>1129</v>
      </c>
      <c r="B133" t="s">
        <v>242</v>
      </c>
      <c r="C133">
        <v>31</v>
      </c>
      <c r="D133" t="s">
        <v>65</v>
      </c>
      <c r="E133" t="s">
        <v>66</v>
      </c>
      <c r="F133" t="s">
        <v>67</v>
      </c>
      <c r="G133" s="1">
        <v>43591</v>
      </c>
      <c r="J133" s="8">
        <v>4900</v>
      </c>
      <c r="K133" t="s">
        <v>20</v>
      </c>
      <c r="L133">
        <v>3</v>
      </c>
      <c r="M133">
        <v>1</v>
      </c>
      <c r="N133">
        <v>3</v>
      </c>
      <c r="O133" t="s">
        <v>53</v>
      </c>
      <c r="P133">
        <v>2019</v>
      </c>
    </row>
    <row r="134" spans="1:16" x14ac:dyDescent="0.3">
      <c r="A134">
        <v>1130</v>
      </c>
      <c r="B134" t="s">
        <v>243</v>
      </c>
      <c r="C134">
        <v>35</v>
      </c>
      <c r="D134" t="s">
        <v>23</v>
      </c>
      <c r="E134" t="s">
        <v>244</v>
      </c>
      <c r="F134" t="s">
        <v>67</v>
      </c>
      <c r="G134" s="1">
        <v>43678</v>
      </c>
      <c r="J134" s="8">
        <v>9800</v>
      </c>
      <c r="K134" t="s">
        <v>34</v>
      </c>
      <c r="L134">
        <v>5</v>
      </c>
      <c r="M134">
        <v>0</v>
      </c>
      <c r="N134">
        <v>4</v>
      </c>
      <c r="O134" t="s">
        <v>51</v>
      </c>
      <c r="P134">
        <v>2019</v>
      </c>
    </row>
    <row r="135" spans="1:16" x14ac:dyDescent="0.3">
      <c r="A135">
        <v>1131</v>
      </c>
      <c r="B135" t="s">
        <v>245</v>
      </c>
      <c r="C135">
        <v>26</v>
      </c>
      <c r="D135" t="s">
        <v>36</v>
      </c>
      <c r="E135" t="s">
        <v>198</v>
      </c>
      <c r="F135" t="s">
        <v>67</v>
      </c>
      <c r="G135" s="1">
        <v>44697</v>
      </c>
      <c r="J135" s="8">
        <v>5100</v>
      </c>
      <c r="K135" t="s">
        <v>34</v>
      </c>
      <c r="L135">
        <v>3</v>
      </c>
      <c r="M135">
        <v>0</v>
      </c>
      <c r="N135">
        <v>3</v>
      </c>
      <c r="O135" t="s">
        <v>53</v>
      </c>
      <c r="P135">
        <v>2022</v>
      </c>
    </row>
    <row r="136" spans="1:16" x14ac:dyDescent="0.3">
      <c r="A136">
        <v>1133</v>
      </c>
      <c r="B136" t="s">
        <v>246</v>
      </c>
      <c r="C136">
        <v>29</v>
      </c>
      <c r="D136" t="s">
        <v>31</v>
      </c>
      <c r="E136" t="s">
        <v>158</v>
      </c>
      <c r="F136" t="s">
        <v>67</v>
      </c>
      <c r="G136" s="1">
        <v>44088</v>
      </c>
      <c r="J136" s="8">
        <v>4300</v>
      </c>
      <c r="K136" t="s">
        <v>34</v>
      </c>
      <c r="L136">
        <v>3</v>
      </c>
      <c r="M136">
        <v>0</v>
      </c>
      <c r="N136">
        <v>3</v>
      </c>
      <c r="O136" t="s">
        <v>38</v>
      </c>
      <c r="P136">
        <v>2020</v>
      </c>
    </row>
    <row r="137" spans="1:16" x14ac:dyDescent="0.3">
      <c r="A137">
        <v>1134</v>
      </c>
      <c r="B137" t="s">
        <v>247</v>
      </c>
      <c r="C137">
        <v>33</v>
      </c>
      <c r="D137" t="s">
        <v>100</v>
      </c>
      <c r="E137" t="s">
        <v>101</v>
      </c>
      <c r="F137" t="s">
        <v>67</v>
      </c>
      <c r="G137" s="1">
        <v>43871</v>
      </c>
      <c r="J137" s="8">
        <v>9300</v>
      </c>
      <c r="K137" t="s">
        <v>34</v>
      </c>
      <c r="L137">
        <v>4</v>
      </c>
      <c r="M137">
        <v>0</v>
      </c>
      <c r="N137">
        <v>2</v>
      </c>
      <c r="O137" t="s">
        <v>21</v>
      </c>
      <c r="P137">
        <v>2020</v>
      </c>
    </row>
    <row r="138" spans="1:16" x14ac:dyDescent="0.3">
      <c r="A138">
        <v>1135</v>
      </c>
      <c r="B138" t="s">
        <v>248</v>
      </c>
      <c r="C138">
        <v>27</v>
      </c>
      <c r="D138" t="s">
        <v>95</v>
      </c>
      <c r="E138" t="s">
        <v>249</v>
      </c>
      <c r="F138" t="s">
        <v>67</v>
      </c>
      <c r="G138" s="1">
        <v>44508</v>
      </c>
      <c r="J138" s="8">
        <v>3400</v>
      </c>
      <c r="K138" t="s">
        <v>20</v>
      </c>
      <c r="L138">
        <v>3</v>
      </c>
      <c r="M138">
        <v>0</v>
      </c>
      <c r="N138">
        <v>2</v>
      </c>
      <c r="O138" t="s">
        <v>84</v>
      </c>
      <c r="P138">
        <v>2021</v>
      </c>
    </row>
    <row r="139" spans="1:16" x14ac:dyDescent="0.3">
      <c r="A139">
        <v>1136</v>
      </c>
      <c r="B139" t="s">
        <v>250</v>
      </c>
      <c r="C139">
        <v>36</v>
      </c>
      <c r="D139" t="s">
        <v>36</v>
      </c>
      <c r="E139" t="s">
        <v>93</v>
      </c>
      <c r="F139" t="s">
        <v>67</v>
      </c>
      <c r="G139" s="1">
        <v>42527</v>
      </c>
      <c r="J139" s="8">
        <v>8700</v>
      </c>
      <c r="K139" t="s">
        <v>34</v>
      </c>
      <c r="L139">
        <v>4</v>
      </c>
      <c r="M139">
        <v>1</v>
      </c>
      <c r="N139">
        <v>4</v>
      </c>
      <c r="O139" t="s">
        <v>75</v>
      </c>
      <c r="P139">
        <v>2016</v>
      </c>
    </row>
    <row r="140" spans="1:16" x14ac:dyDescent="0.3">
      <c r="A140">
        <v>1138</v>
      </c>
      <c r="B140" t="s">
        <v>251</v>
      </c>
      <c r="C140">
        <v>34</v>
      </c>
      <c r="D140" t="s">
        <v>36</v>
      </c>
      <c r="E140" t="s">
        <v>156</v>
      </c>
      <c r="F140" t="s">
        <v>67</v>
      </c>
      <c r="G140" s="1">
        <v>42961</v>
      </c>
      <c r="J140" s="8">
        <v>6400</v>
      </c>
      <c r="K140" t="s">
        <v>34</v>
      </c>
      <c r="L140">
        <v>4</v>
      </c>
      <c r="M140">
        <v>0</v>
      </c>
      <c r="N140">
        <v>3</v>
      </c>
      <c r="O140" t="s">
        <v>51</v>
      </c>
      <c r="P140">
        <v>2017</v>
      </c>
    </row>
    <row r="141" spans="1:16" x14ac:dyDescent="0.3">
      <c r="A141">
        <v>1139</v>
      </c>
      <c r="B141" t="s">
        <v>252</v>
      </c>
      <c r="C141">
        <v>30</v>
      </c>
      <c r="D141" t="s">
        <v>31</v>
      </c>
      <c r="E141" t="s">
        <v>253</v>
      </c>
      <c r="F141" t="s">
        <v>67</v>
      </c>
      <c r="G141" s="1">
        <v>44088</v>
      </c>
      <c r="H141">
        <v>45473</v>
      </c>
      <c r="I141" t="s">
        <v>104</v>
      </c>
      <c r="J141" s="8">
        <v>5600</v>
      </c>
      <c r="K141" t="s">
        <v>74</v>
      </c>
      <c r="L141">
        <v>3</v>
      </c>
      <c r="M141">
        <v>0</v>
      </c>
      <c r="N141">
        <v>1</v>
      </c>
      <c r="O141" t="s">
        <v>38</v>
      </c>
      <c r="P141">
        <v>2020</v>
      </c>
    </row>
    <row r="142" spans="1:16" x14ac:dyDescent="0.3">
      <c r="A142">
        <v>1141</v>
      </c>
      <c r="B142" t="s">
        <v>254</v>
      </c>
      <c r="C142">
        <v>36</v>
      </c>
      <c r="D142" t="s">
        <v>82</v>
      </c>
      <c r="E142" t="s">
        <v>106</v>
      </c>
      <c r="F142" t="s">
        <v>67</v>
      </c>
      <c r="G142" s="1">
        <v>42604</v>
      </c>
      <c r="J142" s="8">
        <v>7900</v>
      </c>
      <c r="K142" t="s">
        <v>20</v>
      </c>
      <c r="L142">
        <v>3</v>
      </c>
      <c r="M142">
        <v>4</v>
      </c>
      <c r="N142">
        <v>2</v>
      </c>
      <c r="O142" t="s">
        <v>51</v>
      </c>
      <c r="P142">
        <v>2016</v>
      </c>
    </row>
    <row r="143" spans="1:16" x14ac:dyDescent="0.3">
      <c r="A143">
        <v>1142</v>
      </c>
      <c r="B143" t="s">
        <v>255</v>
      </c>
      <c r="C143">
        <v>32</v>
      </c>
      <c r="D143" t="s">
        <v>77</v>
      </c>
      <c r="E143" t="s">
        <v>181</v>
      </c>
      <c r="F143" t="s">
        <v>67</v>
      </c>
      <c r="G143" s="1">
        <v>43290</v>
      </c>
      <c r="J143" s="8">
        <v>3600</v>
      </c>
      <c r="K143" t="s">
        <v>20</v>
      </c>
      <c r="L143">
        <v>3</v>
      </c>
      <c r="M143">
        <v>2</v>
      </c>
      <c r="N143">
        <v>1</v>
      </c>
      <c r="O143" t="s">
        <v>57</v>
      </c>
      <c r="P143">
        <v>2018</v>
      </c>
    </row>
    <row r="144" spans="1:16" x14ac:dyDescent="0.3">
      <c r="A144">
        <v>1143</v>
      </c>
      <c r="B144" t="s">
        <v>256</v>
      </c>
      <c r="C144">
        <v>34</v>
      </c>
      <c r="D144" t="s">
        <v>65</v>
      </c>
      <c r="E144" t="s">
        <v>123</v>
      </c>
      <c r="F144" t="s">
        <v>67</v>
      </c>
      <c r="G144" s="1">
        <v>43199</v>
      </c>
      <c r="J144" s="8">
        <v>6100</v>
      </c>
      <c r="K144" t="s">
        <v>20</v>
      </c>
      <c r="L144">
        <v>4</v>
      </c>
      <c r="M144">
        <v>1</v>
      </c>
      <c r="N144">
        <v>3</v>
      </c>
      <c r="O144" t="s">
        <v>43</v>
      </c>
      <c r="P144">
        <v>2018</v>
      </c>
    </row>
    <row r="145" spans="1:16" x14ac:dyDescent="0.3">
      <c r="A145">
        <v>1145</v>
      </c>
      <c r="B145" t="s">
        <v>257</v>
      </c>
      <c r="C145">
        <v>44</v>
      </c>
      <c r="D145" t="s">
        <v>77</v>
      </c>
      <c r="E145" t="s">
        <v>78</v>
      </c>
      <c r="F145" t="s">
        <v>67</v>
      </c>
      <c r="G145" s="1">
        <v>40987</v>
      </c>
      <c r="J145" s="8">
        <v>8600</v>
      </c>
      <c r="K145" t="s">
        <v>20</v>
      </c>
      <c r="L145">
        <v>4</v>
      </c>
      <c r="M145">
        <v>5</v>
      </c>
      <c r="N145">
        <v>1</v>
      </c>
      <c r="O145" t="s">
        <v>41</v>
      </c>
      <c r="P145">
        <v>2012</v>
      </c>
    </row>
    <row r="146" spans="1:16" x14ac:dyDescent="0.3">
      <c r="A146">
        <v>1146</v>
      </c>
      <c r="B146" t="s">
        <v>258</v>
      </c>
      <c r="C146">
        <v>35</v>
      </c>
      <c r="D146" t="s">
        <v>65</v>
      </c>
      <c r="E146" t="s">
        <v>123</v>
      </c>
      <c r="F146" t="s">
        <v>67</v>
      </c>
      <c r="G146" s="1">
        <v>42821</v>
      </c>
      <c r="J146" s="8">
        <v>6100</v>
      </c>
      <c r="K146" t="s">
        <v>20</v>
      </c>
      <c r="L146">
        <v>4</v>
      </c>
      <c r="M146">
        <v>1</v>
      </c>
      <c r="N146">
        <v>3</v>
      </c>
      <c r="O146" t="s">
        <v>41</v>
      </c>
      <c r="P146">
        <v>2017</v>
      </c>
    </row>
    <row r="147" spans="1:16" x14ac:dyDescent="0.3">
      <c r="A147">
        <v>1147</v>
      </c>
      <c r="B147" t="s">
        <v>259</v>
      </c>
      <c r="C147">
        <v>33</v>
      </c>
      <c r="D147" t="s">
        <v>69</v>
      </c>
      <c r="E147" t="s">
        <v>144</v>
      </c>
      <c r="F147" t="s">
        <v>67</v>
      </c>
      <c r="G147" s="1">
        <v>43563</v>
      </c>
      <c r="J147" s="8">
        <v>4100</v>
      </c>
      <c r="K147" t="s">
        <v>20</v>
      </c>
      <c r="L147">
        <v>3</v>
      </c>
      <c r="M147">
        <v>3</v>
      </c>
      <c r="N147">
        <v>2</v>
      </c>
      <c r="O147" t="s">
        <v>43</v>
      </c>
      <c r="P147">
        <v>2019</v>
      </c>
    </row>
    <row r="148" spans="1:16" x14ac:dyDescent="0.3">
      <c r="A148">
        <v>1148</v>
      </c>
      <c r="B148" t="s">
        <v>260</v>
      </c>
      <c r="C148">
        <v>39</v>
      </c>
      <c r="D148" t="s">
        <v>65</v>
      </c>
      <c r="E148" t="s">
        <v>103</v>
      </c>
      <c r="F148" t="s">
        <v>67</v>
      </c>
      <c r="G148" s="1">
        <v>41694</v>
      </c>
      <c r="J148" s="8">
        <v>13200</v>
      </c>
      <c r="K148" t="s">
        <v>20</v>
      </c>
      <c r="L148">
        <v>4</v>
      </c>
      <c r="M148">
        <v>2</v>
      </c>
      <c r="N148">
        <v>2</v>
      </c>
      <c r="O148" t="s">
        <v>21</v>
      </c>
      <c r="P148">
        <v>2014</v>
      </c>
    </row>
    <row r="149" spans="1:16" x14ac:dyDescent="0.3">
      <c r="A149">
        <v>1149</v>
      </c>
      <c r="B149" t="s">
        <v>261</v>
      </c>
      <c r="C149">
        <v>42</v>
      </c>
      <c r="D149" t="s">
        <v>65</v>
      </c>
      <c r="E149" t="s">
        <v>72</v>
      </c>
      <c r="F149" t="s">
        <v>67</v>
      </c>
      <c r="G149" s="1">
        <v>41799</v>
      </c>
      <c r="J149" s="8">
        <v>10100</v>
      </c>
      <c r="K149" t="s">
        <v>34</v>
      </c>
      <c r="L149">
        <v>4</v>
      </c>
      <c r="M149">
        <v>2</v>
      </c>
      <c r="N149">
        <v>3</v>
      </c>
      <c r="O149" t="s">
        <v>75</v>
      </c>
      <c r="P149">
        <v>2014</v>
      </c>
    </row>
    <row r="150" spans="1:16" x14ac:dyDescent="0.3">
      <c r="A150">
        <v>1150</v>
      </c>
      <c r="B150" t="s">
        <v>262</v>
      </c>
      <c r="C150">
        <v>33</v>
      </c>
      <c r="D150" t="s">
        <v>69</v>
      </c>
      <c r="E150" t="s">
        <v>110</v>
      </c>
      <c r="F150" t="s">
        <v>67</v>
      </c>
      <c r="G150" s="1">
        <v>43360</v>
      </c>
      <c r="J150" s="8">
        <v>4600</v>
      </c>
      <c r="K150" t="s">
        <v>34</v>
      </c>
      <c r="L150">
        <v>3</v>
      </c>
      <c r="M150">
        <v>1</v>
      </c>
      <c r="N150">
        <v>3</v>
      </c>
      <c r="O150" t="s">
        <v>38</v>
      </c>
      <c r="P150">
        <v>2018</v>
      </c>
    </row>
    <row r="151" spans="1:16" x14ac:dyDescent="0.3">
      <c r="A151">
        <v>1151</v>
      </c>
      <c r="B151" t="s">
        <v>263</v>
      </c>
      <c r="C151">
        <v>34</v>
      </c>
      <c r="D151" t="s">
        <v>26</v>
      </c>
      <c r="E151" t="s">
        <v>190</v>
      </c>
      <c r="F151" t="s">
        <v>67</v>
      </c>
      <c r="G151" s="1">
        <v>42877</v>
      </c>
      <c r="J151" s="8">
        <v>5200</v>
      </c>
      <c r="K151" t="s">
        <v>34</v>
      </c>
      <c r="L151">
        <v>3</v>
      </c>
      <c r="M151">
        <v>0</v>
      </c>
      <c r="N151">
        <v>4</v>
      </c>
      <c r="O151" t="s">
        <v>53</v>
      </c>
      <c r="P151">
        <v>2017</v>
      </c>
    </row>
    <row r="152" spans="1:16" x14ac:dyDescent="0.3">
      <c r="A152">
        <v>1152</v>
      </c>
      <c r="B152" t="s">
        <v>264</v>
      </c>
      <c r="C152">
        <v>38</v>
      </c>
      <c r="D152" t="s">
        <v>26</v>
      </c>
      <c r="E152" t="s">
        <v>190</v>
      </c>
      <c r="F152" t="s">
        <v>67</v>
      </c>
      <c r="G152" s="1">
        <v>42674</v>
      </c>
      <c r="J152" s="8">
        <v>5200</v>
      </c>
      <c r="K152" t="s">
        <v>34</v>
      </c>
      <c r="L152">
        <v>4</v>
      </c>
      <c r="M152">
        <v>2</v>
      </c>
      <c r="N152">
        <v>4</v>
      </c>
      <c r="O152" t="s">
        <v>47</v>
      </c>
      <c r="P152">
        <v>2016</v>
      </c>
    </row>
    <row r="153" spans="1:16" x14ac:dyDescent="0.3">
      <c r="A153">
        <v>1155</v>
      </c>
      <c r="B153" t="s">
        <v>265</v>
      </c>
      <c r="C153">
        <v>42</v>
      </c>
      <c r="D153" t="s">
        <v>36</v>
      </c>
      <c r="E153" t="s">
        <v>266</v>
      </c>
      <c r="F153" t="s">
        <v>67</v>
      </c>
      <c r="G153" s="1">
        <v>41743</v>
      </c>
      <c r="J153" s="8">
        <v>9100</v>
      </c>
      <c r="K153" t="s">
        <v>34</v>
      </c>
      <c r="L153">
        <v>4</v>
      </c>
      <c r="M153">
        <v>1</v>
      </c>
      <c r="N153">
        <v>3</v>
      </c>
      <c r="O153" t="s">
        <v>43</v>
      </c>
      <c r="P153">
        <v>2014</v>
      </c>
    </row>
    <row r="154" spans="1:16" x14ac:dyDescent="0.3">
      <c r="A154">
        <v>1156</v>
      </c>
      <c r="B154" t="s">
        <v>267</v>
      </c>
      <c r="C154">
        <v>27</v>
      </c>
      <c r="D154" t="s">
        <v>36</v>
      </c>
      <c r="E154" t="s">
        <v>147</v>
      </c>
      <c r="F154" t="s">
        <v>67</v>
      </c>
      <c r="G154" s="1">
        <v>44641</v>
      </c>
      <c r="J154" s="8">
        <v>4800</v>
      </c>
      <c r="K154" t="s">
        <v>34</v>
      </c>
      <c r="L154">
        <v>3</v>
      </c>
      <c r="M154">
        <v>0</v>
      </c>
      <c r="N154">
        <v>3</v>
      </c>
      <c r="O154" t="s">
        <v>41</v>
      </c>
      <c r="P154">
        <v>2022</v>
      </c>
    </row>
    <row r="155" spans="1:16" x14ac:dyDescent="0.3">
      <c r="A155">
        <v>1158</v>
      </c>
      <c r="B155" t="s">
        <v>268</v>
      </c>
      <c r="C155">
        <v>32</v>
      </c>
      <c r="D155" t="s">
        <v>23</v>
      </c>
      <c r="E155" t="s">
        <v>108</v>
      </c>
      <c r="F155" t="s">
        <v>67</v>
      </c>
      <c r="G155" s="1">
        <v>43444</v>
      </c>
      <c r="J155" s="8">
        <v>6900</v>
      </c>
      <c r="K155" t="s">
        <v>34</v>
      </c>
      <c r="L155">
        <v>4</v>
      </c>
      <c r="M155">
        <v>0</v>
      </c>
      <c r="N155">
        <v>3</v>
      </c>
      <c r="O155" t="s">
        <v>136</v>
      </c>
      <c r="P155">
        <v>2018</v>
      </c>
    </row>
    <row r="156" spans="1:16" x14ac:dyDescent="0.3">
      <c r="A156">
        <v>1159</v>
      </c>
      <c r="B156" t="s">
        <v>269</v>
      </c>
      <c r="C156">
        <v>31</v>
      </c>
      <c r="D156" t="s">
        <v>69</v>
      </c>
      <c r="E156" t="s">
        <v>70</v>
      </c>
      <c r="F156" t="s">
        <v>67</v>
      </c>
      <c r="G156" s="1">
        <v>43367</v>
      </c>
      <c r="J156" s="8">
        <v>5400</v>
      </c>
      <c r="K156" t="s">
        <v>34</v>
      </c>
      <c r="L156">
        <v>4</v>
      </c>
      <c r="M156">
        <v>0</v>
      </c>
      <c r="N156">
        <v>5</v>
      </c>
      <c r="O156" t="s">
        <v>38</v>
      </c>
      <c r="P156">
        <v>2018</v>
      </c>
    </row>
    <row r="157" spans="1:16" x14ac:dyDescent="0.3">
      <c r="A157">
        <v>1161</v>
      </c>
      <c r="B157" t="s">
        <v>270</v>
      </c>
      <c r="C157">
        <v>41</v>
      </c>
      <c r="D157" t="s">
        <v>82</v>
      </c>
      <c r="E157" t="s">
        <v>271</v>
      </c>
      <c r="F157" t="s">
        <v>67</v>
      </c>
      <c r="G157" s="1">
        <v>41169</v>
      </c>
      <c r="H157">
        <v>45199</v>
      </c>
      <c r="I157" t="s">
        <v>238</v>
      </c>
      <c r="J157" s="8">
        <v>14200</v>
      </c>
      <c r="K157" t="s">
        <v>20</v>
      </c>
      <c r="L157">
        <v>2</v>
      </c>
      <c r="M157">
        <v>10</v>
      </c>
      <c r="N157">
        <v>0</v>
      </c>
      <c r="O157" t="s">
        <v>38</v>
      </c>
      <c r="P157">
        <v>2012</v>
      </c>
    </row>
    <row r="158" spans="1:16" x14ac:dyDescent="0.3">
      <c r="A158">
        <v>1162</v>
      </c>
      <c r="B158" t="s">
        <v>272</v>
      </c>
      <c r="C158">
        <v>27</v>
      </c>
      <c r="D158" t="s">
        <v>17</v>
      </c>
      <c r="E158" t="s">
        <v>87</v>
      </c>
      <c r="F158" t="s">
        <v>67</v>
      </c>
      <c r="G158" s="1">
        <v>44312</v>
      </c>
      <c r="J158" s="8">
        <v>2700</v>
      </c>
      <c r="K158" t="s">
        <v>20</v>
      </c>
      <c r="L158">
        <v>3</v>
      </c>
      <c r="M158">
        <v>0</v>
      </c>
      <c r="N158">
        <v>2</v>
      </c>
      <c r="O158" t="s">
        <v>43</v>
      </c>
      <c r="P158">
        <v>2021</v>
      </c>
    </row>
    <row r="159" spans="1:16" x14ac:dyDescent="0.3">
      <c r="A159">
        <v>1163</v>
      </c>
      <c r="B159" t="s">
        <v>273</v>
      </c>
      <c r="C159">
        <v>39</v>
      </c>
      <c r="D159" t="s">
        <v>95</v>
      </c>
      <c r="E159" t="s">
        <v>96</v>
      </c>
      <c r="F159" t="s">
        <v>67</v>
      </c>
      <c r="G159" s="1">
        <v>42023</v>
      </c>
      <c r="J159" s="8">
        <v>8400</v>
      </c>
      <c r="K159" t="s">
        <v>20</v>
      </c>
      <c r="L159">
        <v>4</v>
      </c>
      <c r="M159">
        <v>3</v>
      </c>
      <c r="N159">
        <v>1</v>
      </c>
      <c r="O159" t="s">
        <v>49</v>
      </c>
      <c r="P159">
        <v>2015</v>
      </c>
    </row>
    <row r="160" spans="1:16" x14ac:dyDescent="0.3">
      <c r="A160">
        <v>1164</v>
      </c>
      <c r="B160" t="s">
        <v>274</v>
      </c>
      <c r="C160">
        <v>37</v>
      </c>
      <c r="D160" t="s">
        <v>36</v>
      </c>
      <c r="E160" t="s">
        <v>275</v>
      </c>
      <c r="F160" t="s">
        <v>67</v>
      </c>
      <c r="G160" s="1">
        <v>42660</v>
      </c>
      <c r="H160">
        <v>45352</v>
      </c>
      <c r="I160" t="s">
        <v>238</v>
      </c>
      <c r="J160" s="8">
        <v>10200</v>
      </c>
      <c r="K160" t="s">
        <v>34</v>
      </c>
      <c r="L160">
        <v>2</v>
      </c>
      <c r="M160">
        <v>7</v>
      </c>
      <c r="N160">
        <v>1</v>
      </c>
      <c r="O160" t="s">
        <v>47</v>
      </c>
      <c r="P160">
        <v>2016</v>
      </c>
    </row>
    <row r="161" spans="1:16" x14ac:dyDescent="0.3">
      <c r="A161">
        <v>1165</v>
      </c>
      <c r="B161" t="s">
        <v>276</v>
      </c>
      <c r="C161">
        <v>25</v>
      </c>
      <c r="D161" t="s">
        <v>31</v>
      </c>
      <c r="E161" t="s">
        <v>158</v>
      </c>
      <c r="F161" t="s">
        <v>67</v>
      </c>
      <c r="G161" s="1">
        <v>44648</v>
      </c>
      <c r="J161" s="8">
        <v>4300</v>
      </c>
      <c r="K161" t="s">
        <v>34</v>
      </c>
      <c r="L161">
        <v>3</v>
      </c>
      <c r="M161">
        <v>1</v>
      </c>
      <c r="N161">
        <v>3</v>
      </c>
      <c r="O161" t="s">
        <v>41</v>
      </c>
      <c r="P161">
        <v>2022</v>
      </c>
    </row>
    <row r="162" spans="1:16" x14ac:dyDescent="0.3">
      <c r="A162">
        <v>1166</v>
      </c>
      <c r="B162" t="s">
        <v>277</v>
      </c>
      <c r="C162">
        <v>38</v>
      </c>
      <c r="D162" t="s">
        <v>23</v>
      </c>
      <c r="E162" t="s">
        <v>278</v>
      </c>
      <c r="F162" t="s">
        <v>67</v>
      </c>
      <c r="G162" s="1">
        <v>42695</v>
      </c>
      <c r="J162" s="8">
        <v>15000</v>
      </c>
      <c r="K162" t="s">
        <v>74</v>
      </c>
      <c r="L162">
        <v>5</v>
      </c>
      <c r="M162">
        <v>0</v>
      </c>
      <c r="N162">
        <v>2</v>
      </c>
      <c r="O162" t="s">
        <v>84</v>
      </c>
      <c r="P162">
        <v>2016</v>
      </c>
    </row>
    <row r="163" spans="1:16" x14ac:dyDescent="0.3">
      <c r="A163">
        <v>1167</v>
      </c>
      <c r="B163" t="s">
        <v>279</v>
      </c>
      <c r="C163">
        <v>27</v>
      </c>
      <c r="D163" t="s">
        <v>31</v>
      </c>
      <c r="E163" t="s">
        <v>223</v>
      </c>
      <c r="F163" t="s">
        <v>67</v>
      </c>
      <c r="G163" s="1">
        <v>44480</v>
      </c>
      <c r="J163" s="8">
        <v>5600</v>
      </c>
      <c r="K163" t="s">
        <v>34</v>
      </c>
      <c r="L163">
        <v>4</v>
      </c>
      <c r="M163">
        <v>0</v>
      </c>
      <c r="N163">
        <v>3</v>
      </c>
      <c r="O163" t="s">
        <v>47</v>
      </c>
      <c r="P163">
        <v>2021</v>
      </c>
    </row>
    <row r="164" spans="1:16" x14ac:dyDescent="0.3">
      <c r="A164">
        <v>1168</v>
      </c>
      <c r="B164" t="s">
        <v>280</v>
      </c>
      <c r="C164">
        <v>42</v>
      </c>
      <c r="D164" t="s">
        <v>100</v>
      </c>
      <c r="E164" t="s">
        <v>281</v>
      </c>
      <c r="F164" t="s">
        <v>67</v>
      </c>
      <c r="G164" s="1">
        <v>42184</v>
      </c>
      <c r="J164" s="8">
        <v>11800</v>
      </c>
      <c r="K164" t="s">
        <v>34</v>
      </c>
      <c r="L164">
        <v>4</v>
      </c>
      <c r="M164">
        <v>2</v>
      </c>
      <c r="N164">
        <v>2</v>
      </c>
      <c r="O164" t="s">
        <v>75</v>
      </c>
      <c r="P164">
        <v>2015</v>
      </c>
    </row>
    <row r="165" spans="1:16" x14ac:dyDescent="0.3">
      <c r="A165">
        <v>1169</v>
      </c>
      <c r="B165" t="s">
        <v>282</v>
      </c>
      <c r="C165">
        <v>31</v>
      </c>
      <c r="D165" t="s">
        <v>36</v>
      </c>
      <c r="E165" t="s">
        <v>283</v>
      </c>
      <c r="F165" t="s">
        <v>67</v>
      </c>
      <c r="G165" s="1">
        <v>43647</v>
      </c>
      <c r="J165" s="8">
        <v>5100</v>
      </c>
      <c r="K165" t="s">
        <v>34</v>
      </c>
      <c r="L165">
        <v>4</v>
      </c>
      <c r="M165">
        <v>0</v>
      </c>
      <c r="N165">
        <v>3</v>
      </c>
      <c r="O165" t="s">
        <v>57</v>
      </c>
      <c r="P165">
        <v>2019</v>
      </c>
    </row>
    <row r="166" spans="1:16" x14ac:dyDescent="0.3">
      <c r="A166">
        <v>1170</v>
      </c>
      <c r="B166" t="s">
        <v>284</v>
      </c>
      <c r="C166">
        <v>31</v>
      </c>
      <c r="D166" t="s">
        <v>65</v>
      </c>
      <c r="E166" t="s">
        <v>123</v>
      </c>
      <c r="F166" t="s">
        <v>67</v>
      </c>
      <c r="G166" s="1">
        <v>43262</v>
      </c>
      <c r="J166" s="8">
        <v>6100</v>
      </c>
      <c r="K166" t="s">
        <v>34</v>
      </c>
      <c r="L166">
        <v>4</v>
      </c>
      <c r="M166">
        <v>0</v>
      </c>
      <c r="N166">
        <v>3</v>
      </c>
      <c r="O166" t="s">
        <v>75</v>
      </c>
      <c r="P166">
        <v>2018</v>
      </c>
    </row>
    <row r="167" spans="1:16" x14ac:dyDescent="0.3">
      <c r="A167">
        <v>1171</v>
      </c>
      <c r="B167" t="s">
        <v>285</v>
      </c>
      <c r="C167">
        <v>28</v>
      </c>
      <c r="D167" t="s">
        <v>65</v>
      </c>
      <c r="E167" t="s">
        <v>286</v>
      </c>
      <c r="F167" t="s">
        <v>67</v>
      </c>
      <c r="G167" s="1">
        <v>44713</v>
      </c>
      <c r="J167" s="8">
        <v>3800</v>
      </c>
      <c r="K167" t="s">
        <v>20</v>
      </c>
      <c r="L167">
        <v>3</v>
      </c>
      <c r="M167">
        <v>1</v>
      </c>
      <c r="N167">
        <v>3</v>
      </c>
      <c r="O167" t="s">
        <v>75</v>
      </c>
      <c r="P167">
        <v>2022</v>
      </c>
    </row>
    <row r="168" spans="1:16" x14ac:dyDescent="0.3">
      <c r="A168">
        <v>1172</v>
      </c>
      <c r="B168" t="s">
        <v>287</v>
      </c>
      <c r="C168">
        <v>39</v>
      </c>
      <c r="D168" t="s">
        <v>95</v>
      </c>
      <c r="E168" t="s">
        <v>112</v>
      </c>
      <c r="F168" t="s">
        <v>67</v>
      </c>
      <c r="G168" s="1">
        <v>41883</v>
      </c>
      <c r="J168" s="8">
        <v>6400</v>
      </c>
      <c r="K168" t="s">
        <v>20</v>
      </c>
      <c r="L168">
        <v>4</v>
      </c>
      <c r="M168">
        <v>3</v>
      </c>
      <c r="N168">
        <v>1</v>
      </c>
      <c r="O168" t="s">
        <v>38</v>
      </c>
      <c r="P168">
        <v>2014</v>
      </c>
    </row>
    <row r="169" spans="1:16" x14ac:dyDescent="0.3">
      <c r="A169">
        <v>1175</v>
      </c>
      <c r="B169" t="s">
        <v>288</v>
      </c>
      <c r="C169">
        <v>29</v>
      </c>
      <c r="D169" t="s">
        <v>23</v>
      </c>
      <c r="E169" t="s">
        <v>201</v>
      </c>
      <c r="F169" t="s">
        <v>67</v>
      </c>
      <c r="G169" s="1">
        <v>44018</v>
      </c>
      <c r="J169" s="8">
        <v>8300</v>
      </c>
      <c r="K169" t="s">
        <v>74</v>
      </c>
      <c r="L169">
        <v>4</v>
      </c>
      <c r="M169">
        <v>0</v>
      </c>
      <c r="N169">
        <v>4</v>
      </c>
      <c r="O169" t="s">
        <v>57</v>
      </c>
      <c r="P169">
        <v>2020</v>
      </c>
    </row>
    <row r="170" spans="1:16" x14ac:dyDescent="0.3">
      <c r="A170">
        <v>1176</v>
      </c>
      <c r="B170" t="s">
        <v>289</v>
      </c>
      <c r="C170">
        <v>47</v>
      </c>
      <c r="D170" t="s">
        <v>36</v>
      </c>
      <c r="E170" t="s">
        <v>93</v>
      </c>
      <c r="F170" t="s">
        <v>67</v>
      </c>
      <c r="G170" s="1">
        <v>40819</v>
      </c>
      <c r="J170" s="8">
        <v>9000</v>
      </c>
      <c r="K170" t="s">
        <v>34</v>
      </c>
      <c r="L170">
        <v>4</v>
      </c>
      <c r="M170">
        <v>2</v>
      </c>
      <c r="N170">
        <v>3</v>
      </c>
      <c r="O170" t="s">
        <v>47</v>
      </c>
      <c r="P170">
        <v>2011</v>
      </c>
    </row>
    <row r="171" spans="1:16" x14ac:dyDescent="0.3">
      <c r="A171">
        <v>1177</v>
      </c>
      <c r="B171" t="s">
        <v>290</v>
      </c>
      <c r="C171">
        <v>50</v>
      </c>
      <c r="D171" t="s">
        <v>82</v>
      </c>
      <c r="E171" t="s">
        <v>83</v>
      </c>
      <c r="F171" t="s">
        <v>67</v>
      </c>
      <c r="G171" s="1">
        <v>40308</v>
      </c>
      <c r="J171" s="8">
        <v>13500</v>
      </c>
      <c r="K171" t="s">
        <v>34</v>
      </c>
      <c r="L171">
        <v>4</v>
      </c>
      <c r="M171">
        <v>3</v>
      </c>
      <c r="N171">
        <v>1</v>
      </c>
      <c r="O171" t="s">
        <v>53</v>
      </c>
      <c r="P171">
        <v>2010</v>
      </c>
    </row>
    <row r="172" spans="1:16" x14ac:dyDescent="0.3">
      <c r="A172">
        <v>1178</v>
      </c>
      <c r="B172" t="s">
        <v>291</v>
      </c>
      <c r="C172">
        <v>30</v>
      </c>
      <c r="D172" t="s">
        <v>77</v>
      </c>
      <c r="E172" t="s">
        <v>178</v>
      </c>
      <c r="F172" t="s">
        <v>67</v>
      </c>
      <c r="G172" s="1">
        <v>43843</v>
      </c>
      <c r="J172" s="8">
        <v>3200</v>
      </c>
      <c r="K172" t="s">
        <v>20</v>
      </c>
      <c r="L172">
        <v>3</v>
      </c>
      <c r="M172">
        <v>4</v>
      </c>
      <c r="N172">
        <v>1</v>
      </c>
      <c r="O172" t="s">
        <v>49</v>
      </c>
      <c r="P172">
        <v>2020</v>
      </c>
    </row>
    <row r="173" spans="1:16" x14ac:dyDescent="0.3">
      <c r="A173">
        <v>1179</v>
      </c>
      <c r="B173" t="s">
        <v>292</v>
      </c>
      <c r="C173">
        <v>36</v>
      </c>
      <c r="D173" t="s">
        <v>82</v>
      </c>
      <c r="E173" t="s">
        <v>114</v>
      </c>
      <c r="F173" t="s">
        <v>67</v>
      </c>
      <c r="G173" s="1">
        <v>42380</v>
      </c>
      <c r="J173" s="8">
        <v>6100</v>
      </c>
      <c r="K173" t="s">
        <v>34</v>
      </c>
      <c r="L173">
        <v>3</v>
      </c>
      <c r="M173">
        <v>2</v>
      </c>
      <c r="N173">
        <v>2</v>
      </c>
      <c r="O173" t="s">
        <v>49</v>
      </c>
      <c r="P173">
        <v>2016</v>
      </c>
    </row>
    <row r="174" spans="1:16" x14ac:dyDescent="0.3">
      <c r="A174">
        <v>1180</v>
      </c>
      <c r="B174" t="s">
        <v>293</v>
      </c>
      <c r="C174">
        <v>37</v>
      </c>
      <c r="D174" t="s">
        <v>77</v>
      </c>
      <c r="E174" t="s">
        <v>178</v>
      </c>
      <c r="F174" t="s">
        <v>67</v>
      </c>
      <c r="G174" s="1">
        <v>42702</v>
      </c>
      <c r="J174" s="8">
        <v>3700</v>
      </c>
      <c r="K174" t="s">
        <v>20</v>
      </c>
      <c r="L174">
        <v>3</v>
      </c>
      <c r="M174">
        <v>3</v>
      </c>
      <c r="N174">
        <v>1</v>
      </c>
      <c r="O174" t="s">
        <v>84</v>
      </c>
      <c r="P174">
        <v>2016</v>
      </c>
    </row>
    <row r="175" spans="1:16" x14ac:dyDescent="0.3">
      <c r="A175">
        <v>1181</v>
      </c>
      <c r="B175" t="s">
        <v>294</v>
      </c>
      <c r="C175">
        <v>34</v>
      </c>
      <c r="D175" t="s">
        <v>23</v>
      </c>
      <c r="E175" t="s">
        <v>295</v>
      </c>
      <c r="F175" t="s">
        <v>67</v>
      </c>
      <c r="G175" s="1">
        <v>44109</v>
      </c>
      <c r="J175" s="8">
        <v>9800</v>
      </c>
      <c r="K175" t="s">
        <v>34</v>
      </c>
      <c r="L175">
        <v>5</v>
      </c>
      <c r="M175">
        <v>0</v>
      </c>
      <c r="N175">
        <v>2</v>
      </c>
      <c r="O175" t="s">
        <v>47</v>
      </c>
      <c r="P175">
        <v>2020</v>
      </c>
    </row>
    <row r="176" spans="1:16" x14ac:dyDescent="0.3">
      <c r="A176">
        <v>1182</v>
      </c>
      <c r="B176" t="s">
        <v>296</v>
      </c>
      <c r="C176">
        <v>32</v>
      </c>
      <c r="D176" t="s">
        <v>65</v>
      </c>
      <c r="E176" t="s">
        <v>128</v>
      </c>
      <c r="F176" t="s">
        <v>67</v>
      </c>
      <c r="G176" s="1">
        <v>43451</v>
      </c>
      <c r="J176" s="8">
        <v>5600</v>
      </c>
      <c r="K176" t="s">
        <v>20</v>
      </c>
      <c r="L176">
        <v>3</v>
      </c>
      <c r="M176">
        <v>1</v>
      </c>
      <c r="N176">
        <v>2</v>
      </c>
      <c r="O176" t="s">
        <v>136</v>
      </c>
      <c r="P176">
        <v>2018</v>
      </c>
    </row>
    <row r="177" spans="1:16" x14ac:dyDescent="0.3">
      <c r="A177">
        <v>1183</v>
      </c>
      <c r="B177" t="s">
        <v>297</v>
      </c>
      <c r="C177">
        <v>29</v>
      </c>
      <c r="D177" t="s">
        <v>17</v>
      </c>
      <c r="E177" t="s">
        <v>18</v>
      </c>
      <c r="F177" t="s">
        <v>67</v>
      </c>
      <c r="G177" s="1">
        <v>44151</v>
      </c>
      <c r="J177" s="8">
        <v>3200</v>
      </c>
      <c r="K177" t="s">
        <v>74</v>
      </c>
      <c r="L177">
        <v>3</v>
      </c>
      <c r="M177">
        <v>0</v>
      </c>
      <c r="N177">
        <v>2</v>
      </c>
      <c r="O177" t="s">
        <v>84</v>
      </c>
      <c r="P177">
        <v>2020</v>
      </c>
    </row>
    <row r="178" spans="1:16" x14ac:dyDescent="0.3">
      <c r="A178">
        <v>1184</v>
      </c>
      <c r="B178" t="s">
        <v>298</v>
      </c>
      <c r="C178">
        <v>28</v>
      </c>
      <c r="D178" t="s">
        <v>23</v>
      </c>
      <c r="E178" t="s">
        <v>29</v>
      </c>
      <c r="F178" t="s">
        <v>67</v>
      </c>
      <c r="G178" s="1">
        <v>44375</v>
      </c>
      <c r="J178" s="8">
        <v>3900</v>
      </c>
      <c r="K178" t="s">
        <v>20</v>
      </c>
      <c r="L178">
        <v>3</v>
      </c>
      <c r="M178">
        <v>1</v>
      </c>
      <c r="N178">
        <v>3</v>
      </c>
      <c r="O178" t="s">
        <v>75</v>
      </c>
      <c r="P178">
        <v>2021</v>
      </c>
    </row>
    <row r="179" spans="1:16" x14ac:dyDescent="0.3">
      <c r="A179">
        <v>1185</v>
      </c>
      <c r="B179" t="s">
        <v>299</v>
      </c>
      <c r="C179">
        <v>30</v>
      </c>
      <c r="D179" t="s">
        <v>31</v>
      </c>
      <c r="E179" t="s">
        <v>120</v>
      </c>
      <c r="F179" t="s">
        <v>67</v>
      </c>
      <c r="G179" s="1">
        <v>43717</v>
      </c>
      <c r="J179" s="8">
        <v>4100</v>
      </c>
      <c r="K179" t="s">
        <v>74</v>
      </c>
      <c r="L179">
        <v>3</v>
      </c>
      <c r="M179">
        <v>3</v>
      </c>
      <c r="N179">
        <v>1</v>
      </c>
      <c r="O179" t="s">
        <v>38</v>
      </c>
      <c r="P179">
        <v>2019</v>
      </c>
    </row>
    <row r="180" spans="1:16" x14ac:dyDescent="0.3">
      <c r="A180">
        <v>1186</v>
      </c>
      <c r="B180" t="s">
        <v>300</v>
      </c>
      <c r="C180">
        <v>44</v>
      </c>
      <c r="D180" t="s">
        <v>95</v>
      </c>
      <c r="E180" t="s">
        <v>96</v>
      </c>
      <c r="F180" t="s">
        <v>67</v>
      </c>
      <c r="G180" s="1">
        <v>41505</v>
      </c>
      <c r="J180" s="8">
        <v>8400</v>
      </c>
      <c r="K180" t="s">
        <v>20</v>
      </c>
      <c r="L180">
        <v>4</v>
      </c>
      <c r="M180">
        <v>3</v>
      </c>
      <c r="N180">
        <v>1</v>
      </c>
      <c r="O180" t="s">
        <v>51</v>
      </c>
      <c r="P180">
        <v>2013</v>
      </c>
    </row>
    <row r="181" spans="1:16" x14ac:dyDescent="0.3">
      <c r="A181">
        <v>1187</v>
      </c>
      <c r="B181" t="s">
        <v>301</v>
      </c>
      <c r="C181">
        <v>28</v>
      </c>
      <c r="D181" t="s">
        <v>26</v>
      </c>
      <c r="E181" t="s">
        <v>175</v>
      </c>
      <c r="F181" t="s">
        <v>67</v>
      </c>
      <c r="G181" s="1">
        <v>44326</v>
      </c>
      <c r="J181" s="8">
        <v>4500</v>
      </c>
      <c r="K181" t="s">
        <v>34</v>
      </c>
      <c r="L181">
        <v>3</v>
      </c>
      <c r="M181">
        <v>0</v>
      </c>
      <c r="N181">
        <v>3</v>
      </c>
      <c r="O181" t="s">
        <v>53</v>
      </c>
      <c r="P181">
        <v>2021</v>
      </c>
    </row>
    <row r="182" spans="1:16" x14ac:dyDescent="0.3">
      <c r="A182">
        <v>1188</v>
      </c>
      <c r="B182" t="s">
        <v>302</v>
      </c>
      <c r="C182">
        <v>38</v>
      </c>
      <c r="D182" t="s">
        <v>82</v>
      </c>
      <c r="E182" t="s">
        <v>106</v>
      </c>
      <c r="F182" t="s">
        <v>67</v>
      </c>
      <c r="G182" s="1">
        <v>42191</v>
      </c>
      <c r="H182">
        <v>44985</v>
      </c>
      <c r="I182" t="s">
        <v>238</v>
      </c>
      <c r="J182" s="8">
        <v>8000</v>
      </c>
      <c r="K182" t="s">
        <v>20</v>
      </c>
      <c r="L182">
        <v>3</v>
      </c>
      <c r="M182">
        <v>5</v>
      </c>
      <c r="N182">
        <v>2</v>
      </c>
      <c r="O182" t="s">
        <v>57</v>
      </c>
      <c r="P182">
        <v>2015</v>
      </c>
    </row>
    <row r="183" spans="1:16" x14ac:dyDescent="0.3">
      <c r="A183">
        <v>1189</v>
      </c>
      <c r="B183" t="s">
        <v>303</v>
      </c>
      <c r="C183">
        <v>42</v>
      </c>
      <c r="D183" t="s">
        <v>95</v>
      </c>
      <c r="E183" t="s">
        <v>139</v>
      </c>
      <c r="F183" t="s">
        <v>67</v>
      </c>
      <c r="G183" s="1">
        <v>41001</v>
      </c>
      <c r="J183" s="8">
        <v>13600</v>
      </c>
      <c r="K183" t="s">
        <v>20</v>
      </c>
      <c r="L183">
        <v>4</v>
      </c>
      <c r="M183">
        <v>3</v>
      </c>
      <c r="N183">
        <v>1</v>
      </c>
      <c r="O183" t="s">
        <v>43</v>
      </c>
      <c r="P183">
        <v>2012</v>
      </c>
    </row>
    <row r="184" spans="1:16" x14ac:dyDescent="0.3">
      <c r="A184">
        <v>1190</v>
      </c>
      <c r="B184" t="s">
        <v>304</v>
      </c>
      <c r="C184">
        <v>29</v>
      </c>
      <c r="D184" t="s">
        <v>36</v>
      </c>
      <c r="E184" t="s">
        <v>283</v>
      </c>
      <c r="F184" t="s">
        <v>67</v>
      </c>
      <c r="G184" s="1">
        <v>44123</v>
      </c>
      <c r="J184" s="8">
        <v>5100</v>
      </c>
      <c r="K184" t="s">
        <v>34</v>
      </c>
      <c r="L184">
        <v>4</v>
      </c>
      <c r="M184">
        <v>0</v>
      </c>
      <c r="N184">
        <v>4</v>
      </c>
      <c r="O184" t="s">
        <v>47</v>
      </c>
      <c r="P184">
        <v>2020</v>
      </c>
    </row>
    <row r="185" spans="1:16" x14ac:dyDescent="0.3">
      <c r="A185">
        <v>1191</v>
      </c>
      <c r="B185" t="s">
        <v>305</v>
      </c>
      <c r="C185">
        <v>32</v>
      </c>
      <c r="D185" t="s">
        <v>77</v>
      </c>
      <c r="E185" t="s">
        <v>181</v>
      </c>
      <c r="F185" t="s">
        <v>67</v>
      </c>
      <c r="G185" s="1">
        <v>43129</v>
      </c>
      <c r="J185" s="8">
        <v>3600</v>
      </c>
      <c r="K185" t="s">
        <v>20</v>
      </c>
      <c r="L185">
        <v>3</v>
      </c>
      <c r="M185">
        <v>1</v>
      </c>
      <c r="N185">
        <v>1</v>
      </c>
      <c r="O185" t="s">
        <v>49</v>
      </c>
      <c r="P185">
        <v>2018</v>
      </c>
    </row>
    <row r="186" spans="1:16" x14ac:dyDescent="0.3">
      <c r="A186">
        <v>1192</v>
      </c>
      <c r="B186" t="s">
        <v>306</v>
      </c>
      <c r="C186">
        <v>27</v>
      </c>
      <c r="D186" t="s">
        <v>17</v>
      </c>
      <c r="E186" t="s">
        <v>18</v>
      </c>
      <c r="F186" t="s">
        <v>67</v>
      </c>
      <c r="G186" s="1">
        <v>44396</v>
      </c>
      <c r="J186" s="8">
        <v>3100</v>
      </c>
      <c r="K186" t="s">
        <v>74</v>
      </c>
      <c r="L186">
        <v>3</v>
      </c>
      <c r="M186">
        <v>0</v>
      </c>
      <c r="N186">
        <v>3</v>
      </c>
      <c r="O186" t="s">
        <v>57</v>
      </c>
      <c r="P186">
        <v>2021</v>
      </c>
    </row>
    <row r="187" spans="1:16" x14ac:dyDescent="0.3">
      <c r="A187">
        <v>1193</v>
      </c>
      <c r="B187" t="s">
        <v>307</v>
      </c>
      <c r="C187">
        <v>31</v>
      </c>
      <c r="D187" t="s">
        <v>23</v>
      </c>
      <c r="E187" t="s">
        <v>172</v>
      </c>
      <c r="F187" t="s">
        <v>67</v>
      </c>
      <c r="G187" s="1">
        <v>43710</v>
      </c>
      <c r="J187" s="8">
        <v>7600</v>
      </c>
      <c r="K187" t="s">
        <v>34</v>
      </c>
      <c r="L187">
        <v>4</v>
      </c>
      <c r="M187">
        <v>1</v>
      </c>
      <c r="N187">
        <v>4</v>
      </c>
      <c r="O187" t="s">
        <v>38</v>
      </c>
      <c r="P187">
        <v>2019</v>
      </c>
    </row>
    <row r="188" spans="1:16" x14ac:dyDescent="0.3">
      <c r="A188">
        <v>1194</v>
      </c>
      <c r="B188" t="s">
        <v>308</v>
      </c>
      <c r="C188">
        <v>28</v>
      </c>
      <c r="D188" t="s">
        <v>26</v>
      </c>
      <c r="E188" t="s">
        <v>193</v>
      </c>
      <c r="F188" t="s">
        <v>67</v>
      </c>
      <c r="G188" s="1">
        <v>43864</v>
      </c>
      <c r="J188" s="8">
        <v>4300</v>
      </c>
      <c r="K188" t="s">
        <v>34</v>
      </c>
      <c r="L188">
        <v>3</v>
      </c>
      <c r="M188">
        <v>0</v>
      </c>
      <c r="N188">
        <v>4</v>
      </c>
      <c r="O188" t="s">
        <v>21</v>
      </c>
      <c r="P188">
        <v>2020</v>
      </c>
    </row>
    <row r="189" spans="1:16" x14ac:dyDescent="0.3">
      <c r="A189">
        <v>1195</v>
      </c>
      <c r="B189" t="s">
        <v>309</v>
      </c>
      <c r="C189">
        <v>27</v>
      </c>
      <c r="D189" t="s">
        <v>65</v>
      </c>
      <c r="E189" t="s">
        <v>128</v>
      </c>
      <c r="F189" t="s">
        <v>67</v>
      </c>
      <c r="G189" s="1">
        <v>44809</v>
      </c>
      <c r="J189" s="8">
        <v>5100</v>
      </c>
      <c r="K189" t="s">
        <v>20</v>
      </c>
      <c r="L189">
        <v>3</v>
      </c>
      <c r="M189">
        <v>0</v>
      </c>
      <c r="N189">
        <v>3</v>
      </c>
      <c r="O189" t="s">
        <v>38</v>
      </c>
      <c r="P189">
        <v>2022</v>
      </c>
    </row>
    <row r="190" spans="1:16" x14ac:dyDescent="0.3">
      <c r="A190">
        <v>1196</v>
      </c>
      <c r="B190" t="s">
        <v>310</v>
      </c>
      <c r="C190">
        <v>29</v>
      </c>
      <c r="D190" t="s">
        <v>31</v>
      </c>
      <c r="E190" t="s">
        <v>223</v>
      </c>
      <c r="F190" t="s">
        <v>67</v>
      </c>
      <c r="G190" s="1">
        <v>44060</v>
      </c>
      <c r="J190" s="8">
        <v>5600</v>
      </c>
      <c r="K190" t="s">
        <v>74</v>
      </c>
      <c r="L190">
        <v>4</v>
      </c>
      <c r="M190">
        <v>0</v>
      </c>
      <c r="N190">
        <v>4</v>
      </c>
      <c r="O190" t="s">
        <v>51</v>
      </c>
      <c r="P190">
        <v>2020</v>
      </c>
    </row>
    <row r="191" spans="1:16" x14ac:dyDescent="0.3">
      <c r="A191">
        <v>1197</v>
      </c>
      <c r="B191" t="s">
        <v>311</v>
      </c>
      <c r="C191">
        <v>28</v>
      </c>
      <c r="D191" t="s">
        <v>23</v>
      </c>
      <c r="E191" t="s">
        <v>201</v>
      </c>
      <c r="F191" t="s">
        <v>67</v>
      </c>
      <c r="G191" s="1">
        <v>44109</v>
      </c>
      <c r="J191" s="8">
        <v>8400</v>
      </c>
      <c r="K191" t="s">
        <v>74</v>
      </c>
      <c r="L191">
        <v>4</v>
      </c>
      <c r="M191">
        <v>0</v>
      </c>
      <c r="N191">
        <v>4</v>
      </c>
      <c r="O191" t="s">
        <v>47</v>
      </c>
      <c r="P191">
        <v>2020</v>
      </c>
    </row>
    <row r="192" spans="1:16" x14ac:dyDescent="0.3">
      <c r="A192">
        <v>1198</v>
      </c>
      <c r="B192" t="s">
        <v>312</v>
      </c>
      <c r="C192">
        <v>29</v>
      </c>
      <c r="D192" t="s">
        <v>23</v>
      </c>
      <c r="E192" t="s">
        <v>201</v>
      </c>
      <c r="F192" t="s">
        <v>67</v>
      </c>
      <c r="G192" s="1">
        <v>43640</v>
      </c>
      <c r="J192" s="8">
        <v>8200</v>
      </c>
      <c r="K192" t="s">
        <v>74</v>
      </c>
      <c r="L192">
        <v>4</v>
      </c>
      <c r="M192">
        <v>0</v>
      </c>
      <c r="N192">
        <v>4</v>
      </c>
      <c r="O192" t="s">
        <v>75</v>
      </c>
      <c r="P192">
        <v>2019</v>
      </c>
    </row>
    <row r="193" spans="1:16" x14ac:dyDescent="0.3">
      <c r="A193">
        <v>1200</v>
      </c>
      <c r="B193" t="s">
        <v>313</v>
      </c>
      <c r="C193">
        <v>29</v>
      </c>
      <c r="D193" t="s">
        <v>17</v>
      </c>
      <c r="E193" t="s">
        <v>80</v>
      </c>
      <c r="F193" t="s">
        <v>67</v>
      </c>
      <c r="G193" s="1">
        <v>43584</v>
      </c>
      <c r="J193" s="8">
        <v>4600</v>
      </c>
      <c r="K193" t="s">
        <v>20</v>
      </c>
      <c r="L193">
        <v>4</v>
      </c>
      <c r="M193">
        <v>2</v>
      </c>
      <c r="N193">
        <v>3</v>
      </c>
      <c r="O193" t="s">
        <v>43</v>
      </c>
      <c r="P193">
        <v>2019</v>
      </c>
    </row>
    <row r="194" spans="1:16" x14ac:dyDescent="0.3">
      <c r="A194">
        <v>1201</v>
      </c>
      <c r="B194" t="s">
        <v>314</v>
      </c>
      <c r="C194">
        <v>25</v>
      </c>
      <c r="D194" t="s">
        <v>26</v>
      </c>
      <c r="E194" t="s">
        <v>40</v>
      </c>
      <c r="F194" t="s">
        <v>67</v>
      </c>
      <c r="G194" s="1">
        <v>44809</v>
      </c>
      <c r="J194" s="8">
        <v>4400</v>
      </c>
      <c r="K194" t="s">
        <v>74</v>
      </c>
      <c r="L194">
        <v>3</v>
      </c>
      <c r="M194">
        <v>0</v>
      </c>
      <c r="N194">
        <v>4</v>
      </c>
      <c r="O194" t="s">
        <v>38</v>
      </c>
      <c r="P194">
        <v>2022</v>
      </c>
    </row>
    <row r="195" spans="1:16" x14ac:dyDescent="0.3">
      <c r="A195">
        <v>1075</v>
      </c>
      <c r="B195" t="s">
        <v>16</v>
      </c>
      <c r="C195">
        <v>28</v>
      </c>
      <c r="D195" t="s">
        <v>17</v>
      </c>
      <c r="E195" t="s">
        <v>18</v>
      </c>
      <c r="F195" t="s">
        <v>19</v>
      </c>
      <c r="G195" s="1">
        <v>45329</v>
      </c>
      <c r="J195" s="8">
        <v>2200</v>
      </c>
      <c r="K195" t="s">
        <v>20</v>
      </c>
      <c r="L195">
        <v>5</v>
      </c>
      <c r="M195">
        <v>0</v>
      </c>
      <c r="N195">
        <v>4</v>
      </c>
      <c r="O195" t="s">
        <v>21</v>
      </c>
      <c r="P195">
        <v>2024</v>
      </c>
    </row>
    <row r="196" spans="1:16" x14ac:dyDescent="0.3">
      <c r="A196">
        <v>1094</v>
      </c>
      <c r="B196" t="s">
        <v>22</v>
      </c>
      <c r="C196">
        <v>30</v>
      </c>
      <c r="D196" t="s">
        <v>23</v>
      </c>
      <c r="E196" t="s">
        <v>24</v>
      </c>
      <c r="F196" t="s">
        <v>19</v>
      </c>
      <c r="G196" s="1">
        <v>45333</v>
      </c>
      <c r="J196" s="8">
        <v>2200</v>
      </c>
      <c r="K196" t="s">
        <v>20</v>
      </c>
      <c r="L196">
        <v>5</v>
      </c>
      <c r="M196">
        <v>0</v>
      </c>
      <c r="N196">
        <v>2</v>
      </c>
      <c r="O196" t="s">
        <v>21</v>
      </c>
      <c r="P196">
        <v>2024</v>
      </c>
    </row>
    <row r="197" spans="1:16" x14ac:dyDescent="0.3">
      <c r="A197">
        <v>1154</v>
      </c>
      <c r="B197" t="s">
        <v>25</v>
      </c>
      <c r="C197">
        <v>20</v>
      </c>
      <c r="D197" t="s">
        <v>26</v>
      </c>
      <c r="E197" t="s">
        <v>27</v>
      </c>
      <c r="F197" t="s">
        <v>19</v>
      </c>
      <c r="G197" s="1">
        <v>45331</v>
      </c>
      <c r="J197" s="8">
        <v>2200</v>
      </c>
      <c r="K197" t="s">
        <v>20</v>
      </c>
      <c r="L197">
        <v>5</v>
      </c>
      <c r="M197">
        <v>1</v>
      </c>
      <c r="N197">
        <v>3</v>
      </c>
      <c r="O197" t="s">
        <v>21</v>
      </c>
      <c r="P197">
        <v>2024</v>
      </c>
    </row>
    <row r="198" spans="1:16" x14ac:dyDescent="0.3">
      <c r="A198">
        <v>1160</v>
      </c>
      <c r="B198" t="s">
        <v>28</v>
      </c>
      <c r="C198">
        <v>21</v>
      </c>
      <c r="D198" t="s">
        <v>23</v>
      </c>
      <c r="E198" t="s">
        <v>29</v>
      </c>
      <c r="F198" t="s">
        <v>19</v>
      </c>
      <c r="G198" s="1">
        <v>45327</v>
      </c>
      <c r="J198" s="8">
        <v>2200</v>
      </c>
      <c r="K198" t="s">
        <v>20</v>
      </c>
      <c r="L198">
        <v>5</v>
      </c>
      <c r="M198">
        <v>1</v>
      </c>
      <c r="N198">
        <v>2</v>
      </c>
      <c r="O198" t="s">
        <v>21</v>
      </c>
      <c r="P198">
        <v>2024</v>
      </c>
    </row>
    <row r="199" spans="1:16" x14ac:dyDescent="0.3">
      <c r="A199">
        <v>9999</v>
      </c>
      <c r="B199" t="s">
        <v>341</v>
      </c>
      <c r="C199">
        <v>32</v>
      </c>
      <c r="D199" t="s">
        <v>23</v>
      </c>
      <c r="E199" t="s">
        <v>24</v>
      </c>
      <c r="F199" t="s">
        <v>19</v>
      </c>
      <c r="G199" s="1">
        <v>45699</v>
      </c>
      <c r="J199" s="8">
        <v>2200</v>
      </c>
      <c r="K199" t="s">
        <v>342</v>
      </c>
      <c r="L199">
        <v>5</v>
      </c>
      <c r="M199">
        <v>0</v>
      </c>
      <c r="N199">
        <v>10</v>
      </c>
      <c r="O199" t="s">
        <v>21</v>
      </c>
      <c r="P199">
        <v>2025</v>
      </c>
    </row>
    <row r="200" spans="1:16" x14ac:dyDescent="0.3">
      <c r="A200">
        <v>1109</v>
      </c>
      <c r="B200" t="s">
        <v>315</v>
      </c>
      <c r="C200">
        <v>35</v>
      </c>
      <c r="D200" t="s">
        <v>23</v>
      </c>
      <c r="E200" t="s">
        <v>244</v>
      </c>
      <c r="F200" t="s">
        <v>316</v>
      </c>
      <c r="G200" s="1">
        <v>43297</v>
      </c>
      <c r="J200" s="8">
        <v>13500</v>
      </c>
      <c r="K200" t="s">
        <v>74</v>
      </c>
      <c r="L200">
        <v>5</v>
      </c>
      <c r="M200">
        <v>0</v>
      </c>
      <c r="N200">
        <v>5</v>
      </c>
      <c r="O200" t="s">
        <v>57</v>
      </c>
      <c r="P200">
        <v>2018</v>
      </c>
    </row>
    <row r="201" spans="1:16" x14ac:dyDescent="0.3">
      <c r="A201">
        <v>1137</v>
      </c>
      <c r="B201" t="s">
        <v>317</v>
      </c>
      <c r="C201">
        <v>33</v>
      </c>
      <c r="D201" t="s">
        <v>23</v>
      </c>
      <c r="E201" t="s">
        <v>318</v>
      </c>
      <c r="F201" t="s">
        <v>316</v>
      </c>
      <c r="G201" s="1">
        <v>43591</v>
      </c>
      <c r="J201" s="8">
        <v>15000</v>
      </c>
      <c r="K201" t="s">
        <v>74</v>
      </c>
      <c r="L201">
        <v>5</v>
      </c>
      <c r="M201">
        <v>0</v>
      </c>
      <c r="N201">
        <v>5</v>
      </c>
      <c r="O201" t="s">
        <v>53</v>
      </c>
      <c r="P201">
        <v>2019</v>
      </c>
    </row>
    <row r="202" spans="1:16" x14ac:dyDescent="0.3">
      <c r="A202">
        <v>1157</v>
      </c>
      <c r="B202" t="s">
        <v>319</v>
      </c>
      <c r="C202">
        <v>31</v>
      </c>
      <c r="D202" t="s">
        <v>23</v>
      </c>
      <c r="E202" t="s">
        <v>244</v>
      </c>
      <c r="F202" t="s">
        <v>316</v>
      </c>
      <c r="G202" s="1">
        <v>43514</v>
      </c>
      <c r="J202" s="8">
        <v>14500</v>
      </c>
      <c r="K202" t="s">
        <v>74</v>
      </c>
      <c r="L202">
        <v>5</v>
      </c>
      <c r="M202">
        <v>0</v>
      </c>
      <c r="N202">
        <v>5</v>
      </c>
      <c r="O202" t="s">
        <v>21</v>
      </c>
      <c r="P202">
        <v>2019</v>
      </c>
    </row>
    <row r="203" spans="1:16" x14ac:dyDescent="0.3">
      <c r="A203">
        <v>1173</v>
      </c>
      <c r="B203" t="s">
        <v>320</v>
      </c>
      <c r="C203">
        <v>31</v>
      </c>
      <c r="D203" t="s">
        <v>23</v>
      </c>
      <c r="E203" t="s">
        <v>244</v>
      </c>
      <c r="F203" t="s">
        <v>316</v>
      </c>
      <c r="G203" s="1">
        <v>43486</v>
      </c>
      <c r="J203" s="8">
        <v>14500</v>
      </c>
      <c r="K203" t="s">
        <v>74</v>
      </c>
      <c r="L203">
        <v>5</v>
      </c>
      <c r="M203">
        <v>0</v>
      </c>
      <c r="N203">
        <v>5</v>
      </c>
      <c r="O203" t="s">
        <v>49</v>
      </c>
      <c r="P203">
        <v>2019</v>
      </c>
    </row>
    <row r="204" spans="1:16" x14ac:dyDescent="0.3">
      <c r="A204">
        <v>1174</v>
      </c>
      <c r="B204" t="s">
        <v>321</v>
      </c>
      <c r="C204">
        <v>27</v>
      </c>
      <c r="D204" t="s">
        <v>23</v>
      </c>
      <c r="E204" t="s">
        <v>24</v>
      </c>
      <c r="F204" t="s">
        <v>316</v>
      </c>
      <c r="G204" s="1">
        <v>44214</v>
      </c>
      <c r="J204" s="8">
        <v>11000</v>
      </c>
      <c r="K204" t="s">
        <v>74</v>
      </c>
      <c r="L204">
        <v>4</v>
      </c>
      <c r="M204">
        <v>0</v>
      </c>
      <c r="N204">
        <v>5</v>
      </c>
      <c r="O204" t="s">
        <v>49</v>
      </c>
      <c r="P204">
        <v>2021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7BBA-F67A-4C69-938C-9A4CDE796026}">
  <dimension ref="A3:H16"/>
  <sheetViews>
    <sheetView showGridLines="0" workbookViewId="0">
      <selection activeCell="N10" sqref="N10"/>
    </sheetView>
  </sheetViews>
  <sheetFormatPr defaultRowHeight="14.4" x14ac:dyDescent="0.3"/>
  <cols>
    <col min="1" max="1" width="17.21875" bestFit="1" customWidth="1"/>
    <col min="2" max="2" width="25.109375" bestFit="1" customWidth="1"/>
    <col min="3" max="3" width="5.21875" customWidth="1"/>
    <col min="4" max="4" width="17.21875" bestFit="1" customWidth="1"/>
    <col min="5" max="5" width="21.88671875" bestFit="1" customWidth="1"/>
    <col min="6" max="6" width="4.88671875" customWidth="1"/>
    <col min="7" max="7" width="17.21875" bestFit="1" customWidth="1"/>
    <col min="8" max="8" width="23.109375" bestFit="1" customWidth="1"/>
  </cols>
  <sheetData>
    <row r="3" spans="1:8" x14ac:dyDescent="0.3">
      <c r="A3" s="2" t="s">
        <v>322</v>
      </c>
      <c r="B3" t="s">
        <v>324</v>
      </c>
      <c r="D3" s="2" t="s">
        <v>322</v>
      </c>
      <c r="E3" t="s">
        <v>325</v>
      </c>
      <c r="G3" s="2" t="s">
        <v>322</v>
      </c>
      <c r="H3" t="s">
        <v>338</v>
      </c>
    </row>
    <row r="4" spans="1:8" x14ac:dyDescent="0.3">
      <c r="A4" s="3" t="s">
        <v>67</v>
      </c>
      <c r="B4" s="9">
        <v>175</v>
      </c>
      <c r="D4" s="3" t="s">
        <v>327</v>
      </c>
      <c r="E4" s="9">
        <v>174600</v>
      </c>
      <c r="G4" s="3" t="s">
        <v>34</v>
      </c>
      <c r="H4" s="9">
        <v>92</v>
      </c>
    </row>
    <row r="5" spans="1:8" x14ac:dyDescent="0.3">
      <c r="A5" s="3" t="s">
        <v>33</v>
      </c>
      <c r="B5" s="9">
        <v>18</v>
      </c>
      <c r="D5" s="3" t="s">
        <v>328</v>
      </c>
      <c r="E5" s="9">
        <v>143600</v>
      </c>
      <c r="G5" s="3" t="s">
        <v>20</v>
      </c>
      <c r="H5" s="9">
        <v>82</v>
      </c>
    </row>
    <row r="6" spans="1:8" x14ac:dyDescent="0.3">
      <c r="A6" s="3" t="s">
        <v>316</v>
      </c>
      <c r="B6" s="9">
        <v>5</v>
      </c>
      <c r="D6" s="3" t="s">
        <v>329</v>
      </c>
      <c r="E6" s="9">
        <v>127100</v>
      </c>
      <c r="G6" s="3" t="s">
        <v>74</v>
      </c>
      <c r="H6" s="9">
        <v>28</v>
      </c>
    </row>
    <row r="7" spans="1:8" x14ac:dyDescent="0.3">
      <c r="A7" s="3" t="s">
        <v>19</v>
      </c>
      <c r="B7" s="9">
        <v>5</v>
      </c>
      <c r="D7" s="3" t="s">
        <v>330</v>
      </c>
      <c r="E7" s="9">
        <v>88550</v>
      </c>
      <c r="G7" s="3" t="s">
        <v>342</v>
      </c>
      <c r="H7" s="9">
        <v>1</v>
      </c>
    </row>
    <row r="8" spans="1:8" x14ac:dyDescent="0.3">
      <c r="A8" s="3" t="s">
        <v>323</v>
      </c>
      <c r="B8" s="9">
        <v>203</v>
      </c>
      <c r="D8" s="3" t="s">
        <v>331</v>
      </c>
      <c r="E8" s="9">
        <v>123900</v>
      </c>
      <c r="G8" s="3" t="s">
        <v>323</v>
      </c>
      <c r="H8" s="9">
        <v>203</v>
      </c>
    </row>
    <row r="9" spans="1:8" x14ac:dyDescent="0.3">
      <c r="D9" s="3" t="s">
        <v>332</v>
      </c>
      <c r="E9" s="9">
        <v>106800</v>
      </c>
    </row>
    <row r="10" spans="1:8" x14ac:dyDescent="0.3">
      <c r="D10" s="3" t="s">
        <v>333</v>
      </c>
      <c r="E10" s="9">
        <v>74300</v>
      </c>
    </row>
    <row r="11" spans="1:8" x14ac:dyDescent="0.3">
      <c r="D11" s="3" t="s">
        <v>334</v>
      </c>
      <c r="E11" s="9">
        <v>73350</v>
      </c>
    </row>
    <row r="12" spans="1:8" x14ac:dyDescent="0.3">
      <c r="D12" s="3" t="s">
        <v>335</v>
      </c>
      <c r="E12" s="9">
        <v>141100</v>
      </c>
    </row>
    <row r="13" spans="1:8" x14ac:dyDescent="0.3">
      <c r="D13" s="3" t="s">
        <v>326</v>
      </c>
      <c r="E13" s="9">
        <v>111000</v>
      </c>
    </row>
    <row r="14" spans="1:8" x14ac:dyDescent="0.3">
      <c r="D14" s="3" t="s">
        <v>336</v>
      </c>
      <c r="E14" s="9">
        <v>100500</v>
      </c>
    </row>
    <row r="15" spans="1:8" x14ac:dyDescent="0.3">
      <c r="D15" s="3" t="s">
        <v>337</v>
      </c>
      <c r="E15" s="9">
        <v>26900</v>
      </c>
    </row>
    <row r="16" spans="1:8" x14ac:dyDescent="0.3">
      <c r="D16" s="3" t="s">
        <v>323</v>
      </c>
      <c r="E16" s="9">
        <v>1291700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ABC7-D3B2-4908-ADA9-D2948999359F}">
  <dimension ref="B1:S2"/>
  <sheetViews>
    <sheetView showGridLines="0" tabSelected="1" zoomScale="80" zoomScaleNormal="80" workbookViewId="0">
      <selection activeCell="W13" sqref="W13"/>
    </sheetView>
  </sheetViews>
  <sheetFormatPr defaultRowHeight="14.4" x14ac:dyDescent="0.3"/>
  <cols>
    <col min="1" max="1" width="3.6640625" customWidth="1"/>
  </cols>
  <sheetData>
    <row r="1" spans="2:19" s="4" customFormat="1" ht="25.8" x14ac:dyDescent="0.5">
      <c r="B1" s="6" t="s">
        <v>339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2:19" s="5" customFormat="1" ht="15.6" x14ac:dyDescent="0.3">
      <c r="B2" s="7" t="s">
        <v>340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</sheetData>
  <mergeCells count="2">
    <mergeCell ref="B1:S1"/>
    <mergeCell ref="B2:S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232CA3-EF35-4A8F-A612-92089E897A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- Consolidada</vt:lpstr>
      <vt:lpstr>Tabela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Bokkor</dc:creator>
  <cp:lastModifiedBy>Abu Bokkor</cp:lastModifiedBy>
  <dcterms:created xsi:type="dcterms:W3CDTF">2015-06-05T18:19:34Z</dcterms:created>
  <dcterms:modified xsi:type="dcterms:W3CDTF">2026-06-11T15:52:10Z</dcterms:modified>
</cp:coreProperties>
</file>